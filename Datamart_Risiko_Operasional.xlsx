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02. Project\FPK MRO\00. Datamart\Datamart-Riskops\"/>
    </mc:Choice>
  </mc:AlternateContent>
  <xr:revisionPtr revIDLastSave="0" documentId="13_ncr:1_{0760C11B-B83D-4D3E-8479-376FA878CFC6}" xr6:coauthVersionLast="47" xr6:coauthVersionMax="47" xr10:uidLastSave="{00000000-0000-0000-0000-000000000000}"/>
  <bookViews>
    <workbookView xWindow="-120" yWindow="-120" windowWidth="29040" windowHeight="16440" tabRatio="500" activeTab="1" xr2:uid="{00000000-000D-0000-FFFF-FFFF00000000}"/>
  </bookViews>
  <sheets>
    <sheet name="PANDUAN" sheetId="2" r:id="rId1"/>
    <sheet name="DATAMART" sheetId="1" r:id="rId2"/>
    <sheet name="LAPOR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4" i="1" l="1"/>
  <c r="V34" i="1"/>
  <c r="U34" i="1"/>
  <c r="T34" i="1"/>
  <c r="S34" i="1"/>
  <c r="R34" i="1"/>
  <c r="W31" i="1"/>
  <c r="V31" i="1"/>
  <c r="U31" i="1"/>
  <c r="T31" i="1"/>
  <c r="S31" i="1"/>
  <c r="R31" i="1"/>
  <c r="W28" i="1"/>
  <c r="V28" i="1"/>
  <c r="U28" i="1"/>
  <c r="T28" i="1"/>
  <c r="S28" i="1"/>
  <c r="R28" i="1"/>
  <c r="W25" i="1"/>
  <c r="V25" i="1"/>
  <c r="U25" i="1"/>
  <c r="T25" i="1"/>
  <c r="S25" i="1"/>
  <c r="R25" i="1"/>
  <c r="W22" i="1"/>
  <c r="V22" i="1"/>
  <c r="U22" i="1"/>
  <c r="T22" i="1"/>
  <c r="S22" i="1"/>
  <c r="R22" i="1"/>
  <c r="W19" i="1"/>
  <c r="V19" i="1"/>
  <c r="U19" i="1"/>
  <c r="T19" i="1"/>
  <c r="S19" i="1"/>
  <c r="R19" i="1"/>
  <c r="W14" i="1"/>
  <c r="V14" i="1"/>
  <c r="U14" i="1"/>
  <c r="T14" i="1"/>
  <c r="S14" i="1"/>
  <c r="R14" i="1"/>
  <c r="W11" i="1"/>
  <c r="V11" i="1"/>
  <c r="U11" i="1"/>
  <c r="T11" i="1"/>
  <c r="S11" i="1"/>
  <c r="R11" i="1"/>
  <c r="W8" i="1"/>
  <c r="V8" i="1"/>
  <c r="U8" i="1"/>
  <c r="T8" i="1"/>
  <c r="S8" i="1"/>
  <c r="R8" i="1"/>
  <c r="W5" i="1"/>
  <c r="V5" i="1"/>
  <c r="U5" i="1"/>
  <c r="T5" i="1"/>
  <c r="S5" i="1"/>
  <c r="R5" i="1"/>
  <c r="Q38" i="1"/>
  <c r="P38" i="1"/>
  <c r="O38" i="1"/>
  <c r="N38" i="1"/>
  <c r="Q34" i="1"/>
  <c r="P34" i="1"/>
  <c r="O34" i="1"/>
  <c r="N34" i="1"/>
  <c r="Q31" i="1"/>
  <c r="Q22" i="1"/>
  <c r="P22" i="1"/>
  <c r="O22" i="1"/>
  <c r="N22" i="1"/>
  <c r="M22" i="1"/>
  <c r="L22" i="1"/>
  <c r="K22" i="1"/>
  <c r="J22" i="1"/>
  <c r="I22" i="1"/>
  <c r="H22" i="1"/>
  <c r="F5" i="1"/>
</calcChain>
</file>

<file path=xl/sharedStrings.xml><?xml version="1.0" encoding="utf-8"?>
<sst xmlns="http://schemas.openxmlformats.org/spreadsheetml/2006/main" count="322" uniqueCount="205">
  <si>
    <t>DATAMART RISIKO OPERASIONAL — KERTAS KERJA UPDATE BULANAN</t>
  </si>
  <si>
    <t>Primary Key</t>
  </si>
  <si>
    <t>Bagian</t>
  </si>
  <si>
    <t>Parameter</t>
  </si>
  <si>
    <t>Jenis Data</t>
  </si>
  <si>
    <t>Link to Source</t>
  </si>
  <si>
    <t>◀  DATA HISTORIS</t>
  </si>
  <si>
    <t>⚡  UPDATE:  Isi nilai di kolom KUNING setiap bulan baru.  Setelah selesai → simpan file → jalankan script update_data.py → push ke GitHub → portal otomatis update.</t>
  </si>
  <si>
    <t>OPS-00000001</t>
  </si>
  <si>
    <t>Risiko Operasional</t>
  </si>
  <si>
    <t>Hasil</t>
  </si>
  <si>
    <t>OPS-00000002</t>
  </si>
  <si>
    <t>Jml NOC On Off Balance Sheet</t>
  </si>
  <si>
    <t>Pembentuk</t>
  </si>
  <si>
    <t>Indikator Dashboard Register LI</t>
  </si>
  <si>
    <t>OPS-00000003</t>
  </si>
  <si>
    <t>Jml AO Masa Kerja ≥ 1 Bulan</t>
  </si>
  <si>
    <t>OPS-00000004</t>
  </si>
  <si>
    <t>OPS-00000005</t>
  </si>
  <si>
    <t>Jml Kelompok On Off Balance Sheet</t>
  </si>
  <si>
    <t>OPS-00000006</t>
  </si>
  <si>
    <t>OPS-00000007</t>
  </si>
  <si>
    <t>OPS-00000008</t>
  </si>
  <si>
    <t>Jml AO Resign 12 Bulan Terakhir</t>
  </si>
  <si>
    <t>OPS-00000009</t>
  </si>
  <si>
    <t>OPS-00000010</t>
  </si>
  <si>
    <t>OPS-00000011</t>
  </si>
  <si>
    <t>OPS-00000012</t>
  </si>
  <si>
    <t>Total AO Mekaar</t>
  </si>
  <si>
    <t>OPS-00000013</t>
  </si>
  <si>
    <t>PKM Full Payment</t>
  </si>
  <si>
    <t>OPS-00000014</t>
  </si>
  <si>
    <t>PKM Face Detect</t>
  </si>
  <si>
    <t>OPS-00000015</t>
  </si>
  <si>
    <t>Kelengkapan KTP &amp; FP4</t>
  </si>
  <si>
    <t>OPS-00000016</t>
  </si>
  <si>
    <t>Noa Ada KTP &amp; FP4</t>
  </si>
  <si>
    <t>OPS-00000017</t>
  </si>
  <si>
    <t>Total Noa On Balance Sheet</t>
  </si>
  <si>
    <t>OPS-00000018</t>
  </si>
  <si>
    <t>Identitas DRTD Yang Tervalidasi</t>
  </si>
  <si>
    <t>OPS-00000019</t>
  </si>
  <si>
    <t>DRTD NIK Sesuai</t>
  </si>
  <si>
    <t>DRTD Series NEW</t>
  </si>
  <si>
    <t>OPS-00000020</t>
  </si>
  <si>
    <t>Total DRTD</t>
  </si>
  <si>
    <t>OPS-00000021</t>
  </si>
  <si>
    <t>Anggota Kelompok Tidak Sesuai</t>
  </si>
  <si>
    <t>OPS-00000022</t>
  </si>
  <si>
    <t>OPS-00000023</t>
  </si>
  <si>
    <t>Total Kelompok</t>
  </si>
  <si>
    <t>OPS-00000024</t>
  </si>
  <si>
    <t>Daily Closing Mekaar H+0</t>
  </si>
  <si>
    <t>OPS-00000025</t>
  </si>
  <si>
    <t>DC H+0</t>
  </si>
  <si>
    <t>PANDUAN UPDATE DATA — DATAMART RISIKO OPERASIONAL</t>
  </si>
  <si>
    <t>LANGKAH UPDATE DATA BULANAN</t>
  </si>
  <si>
    <t>Langkah 1</t>
  </si>
  <si>
    <t>Buka sheet DATAMART</t>
  </si>
  <si>
    <t>Langkah 2</t>
  </si>
  <si>
    <t>Scroll ke kanan — temukan kolom KUNING (periode baru)</t>
  </si>
  <si>
    <t>Langkah 3</t>
  </si>
  <si>
    <t>Isi nilai tiap parameter di kolom kuning tersebut</t>
  </si>
  <si>
    <t>Langkah 4</t>
  </si>
  <si>
    <t>Simpan file Excel (Ctrl+S)</t>
  </si>
  <si>
    <t>Langkah 5</t>
  </si>
  <si>
    <t>Jalankan:  python update_data.py  di folder repo</t>
  </si>
  <si>
    <t>Langkah 6</t>
  </si>
  <si>
    <t>git add . → git commit -m 'update data [periode]' → git push</t>
  </si>
  <si>
    <t>Langkah 7</t>
  </si>
  <si>
    <t>Vercel otomatis re-deploy dalam ~30 detik — portal langsung update!</t>
  </si>
  <si>
    <t>FORMAT NILAI YANG BENAR</t>
  </si>
  <si>
    <t>Angka bulat</t>
  </si>
  <si>
    <t>Tulis langsung tanpa titik/koma ribuan: 43822</t>
  </si>
  <si>
    <t>Persentase</t>
  </si>
  <si>
    <t>Tulis sebagai teks: "42,77%"  (pakai koma desimal + tanda %)</t>
  </si>
  <si>
    <t>Kosong</t>
  </si>
  <si>
    <t>Biarkan sel kosong — portal tampilkan tanda  —</t>
  </si>
  <si>
    <t>JENIS DATA</t>
  </si>
  <si>
    <t>Indikator utama (KPI) yang dipantau — tampil baris biru muda</t>
  </si>
  <si>
    <t>Data sumber/pendukung untuk menghitung indikator Hasil</t>
  </si>
  <si>
    <t>TIPS</t>
  </si>
  <si>
    <t>Freeze panes</t>
  </si>
  <si>
    <t>Kolom A–E ter-freeze. Scroll kanan tanpa kehilangan nama parameter.</t>
  </si>
  <si>
    <t>Tambah parameter</t>
  </si>
  <si>
    <t>Tambah baris baru di bawah data terakhir. Ikuti format kolom yang sama.</t>
  </si>
  <si>
    <t>Nama kolom periode</t>
  </si>
  <si>
    <t>Jangan diubah — format 6 digit (202510, 202604) dideteksi otomatis script.</t>
  </si>
  <si>
    <t>SHEET LAPORAN — Menambah dokumen baru</t>
  </si>
  <si>
    <t>Upload file</t>
  </si>
  <si>
    <t>Taruh file PDF/XLSX/dll ke folder  public/files/  di repo GitHub</t>
  </si>
  <si>
    <t>Isi baris baru</t>
  </si>
  <si>
    <t>Buka sheet LAPORAN → tambah baris → isi semua kolom</t>
  </si>
  <si>
    <t>Kolom Link</t>
  </si>
  <si>
    <t>Isi: files/nama_file.pdf  (path relatif) atau URL lengkap https://...</t>
  </si>
  <si>
    <t>Kolom Aktif</t>
  </si>
  <si>
    <t>Y = file tampil di portal  |  N = disembunyikan</t>
  </si>
  <si>
    <t>Jalankan script</t>
  </si>
  <si>
    <t>python update_data.py → git push → portal update otomatis</t>
  </si>
  <si>
    <t>REPOSITORY LAPORAN &amp; DOKUMEN RISIKO OPERASIONAL</t>
  </si>
  <si>
    <t>⚡  CARA TAMBAH FILE:  Isi baris baru di bawah. Kolom 'Link / Path File' → isi URL publik atau path relatif (contoh: files/nama_file.pdf). Kolom 'Aktif' → Y = tampil di portal, N = disembunyikan.</t>
  </si>
  <si>
    <t>Nama File / Judul</t>
  </si>
  <si>
    <t>Deskripsi</t>
  </si>
  <si>
    <t>Kategori</t>
  </si>
  <si>
    <t>Tipe</t>
  </si>
  <si>
    <t>Link / Path File</t>
  </si>
  <si>
    <t>Ukuran</t>
  </si>
  <si>
    <t>Tanggal</t>
  </si>
  <si>
    <t>Aktif</t>
  </si>
  <si>
    <t>Nama lengkap dokumen</t>
  </si>
  <si>
    <t>Deskripsi singkat isi file</t>
  </si>
  <si>
    <t>Kebijakan / Laporan / SOP / Template / Referensi / Training</t>
  </si>
  <si>
    <t>pdf / xlsx / docx / pptx / link</t>
  </si>
  <si>
    <t>URL atau path: files/nama_file.pdf</t>
  </si>
  <si>
    <t>Contoh: 2.4 MB</t>
  </si>
  <si>
    <t>Format: Jan 2025</t>
  </si>
  <si>
    <t>Y atau N</t>
  </si>
  <si>
    <t>Kebijakan Manajemen Risiko Operasional 2025</t>
  </si>
  <si>
    <t>Kebijakan induk MRO yang menjadi acuan seluruh kegiatan pengelolaan risiko operasional perusahaan.</t>
  </si>
  <si>
    <t>Kebijakan</t>
  </si>
  <si>
    <t>pdf</t>
  </si>
  <si>
    <t>files/Kebijakan_MRO_2025.pdf</t>
  </si>
  <si>
    <t>2.4 MB</t>
  </si>
  <si>
    <t>Mar 2025</t>
  </si>
  <si>
    <t>Y</t>
  </si>
  <si>
    <t>Laporan KRI Risiko Operasional Q1 2025</t>
  </si>
  <si>
    <t>Rekapitulasi seluruh Key Risk Indicator periode Januari–Maret 2025 beserta analisis tren.</t>
  </si>
  <si>
    <t>Laporan</t>
  </si>
  <si>
    <t>xlsx</t>
  </si>
  <si>
    <t>files/Laporan_KRI_Q1_2025.xlsx</t>
  </si>
  <si>
    <t>1.1 MB</t>
  </si>
  <si>
    <t>Apr 2025</t>
  </si>
  <si>
    <t>Template RCSA 2025</t>
  </si>
  <si>
    <t>Template standar Risk &amp; Control Self Assessment untuk seluruh unit kerja. Wajib diisi setiap semester.</t>
  </si>
  <si>
    <t>Template</t>
  </si>
  <si>
    <t>files/Template_RCSA_2025.xlsx</t>
  </si>
  <si>
    <t>845 KB</t>
  </si>
  <si>
    <t>Jan 2025</t>
  </si>
  <si>
    <t>SOP Penanganan Insiden Operasional</t>
  </si>
  <si>
    <t>Prosedur standar identifikasi, eskalasi, dan penanganan insiden risiko operasional.</t>
  </si>
  <si>
    <t>SOP</t>
  </si>
  <si>
    <t>files/SOP_Penanganan_Insiden.pdf</t>
  </si>
  <si>
    <t>3.2 MB</t>
  </si>
  <si>
    <t>Feb 2025</t>
  </si>
  <si>
    <t>Loss Event Report Q1 2025</t>
  </si>
  <si>
    <t>Laporan kejadian kerugian operasional Januari–Maret 2025 beserta analisis penyebab dan status recovery.</t>
  </si>
  <si>
    <t>docx</t>
  </si>
  <si>
    <t>files/Loss_Event_Q1_2025.docx</t>
  </si>
  <si>
    <t>Panduan Basel III — Operational Risk</t>
  </si>
  <si>
    <t>Panduan implementasi kerangka Basel III khusus risiko operasional untuk referensi internal.</t>
  </si>
  <si>
    <t>Referensi</t>
  </si>
  <si>
    <t>files/Panduan_Basel_III_OpRisk.pdf</t>
  </si>
  <si>
    <t>5.7 MB</t>
  </si>
  <si>
    <t>Des 2024</t>
  </si>
  <si>
    <t>Materi Training MRO Awareness 2025</t>
  </si>
  <si>
    <t>Slide presentasi training kesadaran risiko operasional untuk seluruh pegawai. Digunakan saat onboarding.</t>
  </si>
  <si>
    <t>Training</t>
  </si>
  <si>
    <t>pptx</t>
  </si>
  <si>
    <t>files/Training_MRO_Awareness_2025.pptx</t>
  </si>
  <si>
    <t>4.1 MB</t>
  </si>
  <si>
    <t>Dashboard KRI — SharePoint Online</t>
  </si>
  <si>
    <t>Akses dashboard KRI interaktif di SharePoint. Klik untuk membuka langsung di browser.</t>
  </si>
  <si>
    <t>Dashboard</t>
  </si>
  <si>
    <t>link</t>
  </si>
  <si>
    <t>https://sharepoint.perusahaan.com/sites/mro/dashboard</t>
  </si>
  <si>
    <t>—</t>
  </si>
  <si>
    <t>Laporan KRI Risiko Operasional Q4 2024</t>
  </si>
  <si>
    <t>Rekapitulasi KRI periode Oktober–Desember 2024. Arsip.</t>
  </si>
  <si>
    <t>files/Laporan_KRI_Q4_2024.xlsx</t>
  </si>
  <si>
    <t>980 KB</t>
  </si>
  <si>
    <t>Template Laporan Loss Event Bulanan</t>
  </si>
  <si>
    <t>Template standar pengisian laporan loss event. Diisi oleh masing-masing unit setiap akhir bulan.</t>
  </si>
  <si>
    <t>files/Template_Loss_Event_Bulanan.docx</t>
  </si>
  <si>
    <t>320 KB</t>
  </si>
  <si>
    <r>
      <t xml:space="preserve">NOC/AO </t>
    </r>
    <r>
      <rPr>
        <sz val="11"/>
        <color theme="1"/>
        <rFont val="Aptos Narrow"/>
        <family val="2"/>
      </rPr>
      <t>≥ 1 Bulan</t>
    </r>
  </si>
  <si>
    <r>
      <t xml:space="preserve">Kelompok/AO </t>
    </r>
    <r>
      <rPr>
        <sz val="11"/>
        <color theme="1"/>
        <rFont val="Aptos Narrow"/>
        <family val="2"/>
      </rPr>
      <t>≥ 1 Bulan</t>
    </r>
  </si>
  <si>
    <t>Turn Over AO Mekaar 12 Bulan Terakhir (Masa Kerja ≥ 3 Bulan)</t>
  </si>
  <si>
    <t>Rata - Rata AO Aktif 12 Bulan Terakhir</t>
  </si>
  <si>
    <r>
      <t xml:space="preserve">AO Mekaar Masa Kerja </t>
    </r>
    <r>
      <rPr>
        <sz val="11"/>
        <color theme="1"/>
        <rFont val="Aptos Narrow"/>
        <family val="2"/>
      </rPr>
      <t>≤ 3 Bulan</t>
    </r>
  </si>
  <si>
    <t>Jml AO Masa Kerja ≥ 3 Bulan</t>
  </si>
  <si>
    <t>Jml Kelompok Anggota &lt;7 dan &gt; 30</t>
  </si>
  <si>
    <t>OPS-00000026</t>
  </si>
  <si>
    <t>Total DC</t>
  </si>
  <si>
    <t>OPS-00000027</t>
  </si>
  <si>
    <t>Temuan Mekaar Belum Tindak Lanjut</t>
  </si>
  <si>
    <t>OPS-00000028</t>
  </si>
  <si>
    <t>Temuan Mekaar Open &gt; 30 Hari</t>
  </si>
  <si>
    <t>OPS-00000029</t>
  </si>
  <si>
    <t>Total Temuan</t>
  </si>
  <si>
    <t>OPS-00000030</t>
  </si>
  <si>
    <t>% Total Klaim CIS CIT</t>
  </si>
  <si>
    <t>OPS-00000031</t>
  </si>
  <si>
    <t>Nominal Klaim tidak tercover</t>
  </si>
  <si>
    <t>Data Series Pengajuan Klaim CIS CIT</t>
  </si>
  <si>
    <t>OPS-00000032</t>
  </si>
  <si>
    <t>Nominal Pengajuan Klaim CIS CIT</t>
  </si>
  <si>
    <t>OPS-00000033</t>
  </si>
  <si>
    <t>Jumlah Pengajuan Klaim CIS CIT</t>
  </si>
  <si>
    <t>OPS-00000034</t>
  </si>
  <si>
    <t>% Pencairan diluar hari PKM</t>
  </si>
  <si>
    <t>OPS-00000035</t>
  </si>
  <si>
    <t>Noa Penyaluran diluar hari PKM</t>
  </si>
  <si>
    <t>Nasabah Cair diluar PKM</t>
  </si>
  <si>
    <t>OPS-00000036</t>
  </si>
  <si>
    <t>Noa Penyaluran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</si>
</sst>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252F"/>
      <name val="Arial"/>
      <charset val="1"/>
    </font>
    <font>
      <i/>
      <sz val="8"/>
      <color rgb="FF1A5276"/>
      <name val="Arial"/>
      <charset val="1"/>
    </font>
    <font>
      <b/>
      <sz val="9"/>
      <color rgb="FF1A5276"/>
      <name val="Arial"/>
      <charset val="1"/>
    </font>
    <font>
      <sz val="9"/>
      <color rgb="FF1A252F"/>
      <name val="Arial"/>
      <charset val="1"/>
    </font>
    <font>
      <sz val="9"/>
      <color rgb="FF2471A3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6A085"/>
      <name val="Arial"/>
      <charset val="1"/>
    </font>
    <font>
      <i/>
      <sz val="8"/>
      <color rgb="FF7F8C8D"/>
      <name val="Arial"/>
      <charset val="1"/>
    </font>
    <font>
      <b/>
      <sz val="9"/>
      <color rgb="FF27AE60"/>
      <name val="Arial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u/>
      <sz val="11"/>
      <color theme="10"/>
      <name val="Calibri"/>
      <family val="2"/>
      <charset val="1"/>
    </font>
    <font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EBF5FB"/>
        <bgColor rgb="FFEAF4FB"/>
      </patternFill>
    </fill>
    <fill>
      <patternFill patternType="solid">
        <fgColor rgb="FFFFFFFF"/>
        <bgColor rgb="FFF8FCFF"/>
      </patternFill>
    </fill>
    <fill>
      <patternFill patternType="solid">
        <fgColor rgb="FFF8F9FA"/>
        <bgColor rgb="FFF4F9FD"/>
      </patternFill>
    </fill>
    <fill>
      <patternFill patternType="solid">
        <fgColor rgb="FFF4F9FD"/>
        <bgColor rgb="FFF8F9FA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5E8F5"/>
      </left>
      <right style="thin">
        <color rgb="FFD5E8F5"/>
      </right>
      <top style="thin">
        <color rgb="FFD5E8F5"/>
      </top>
      <bottom style="thin">
        <color rgb="FFD5E8F5"/>
      </bottom>
      <diagonal/>
    </border>
    <border>
      <left style="thin">
        <color rgb="FFD5E8F5"/>
      </left>
      <right/>
      <top style="thin">
        <color rgb="FFD5E8F5"/>
      </top>
      <bottom style="thin">
        <color rgb="FFD5E8F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5E8F5"/>
      </left>
      <right/>
      <top/>
      <bottom/>
      <diagonal/>
    </border>
    <border>
      <left/>
      <right/>
      <top style="thin">
        <color rgb="FFD5E8F5"/>
      </top>
      <bottom/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60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/>
    <xf numFmtId="164" fontId="0" fillId="0" borderId="8" xfId="0" applyNumberFormat="1" applyBorder="1"/>
    <xf numFmtId="10" fontId="0" fillId="0" borderId="9" xfId="1" applyNumberFormat="1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3" fontId="0" fillId="9" borderId="3" xfId="0" applyNumberForma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65" fontId="0" fillId="0" borderId="6" xfId="0" applyNumberFormat="1" applyBorder="1"/>
    <xf numFmtId="3" fontId="0" fillId="0" borderId="6" xfId="0" applyNumberFormat="1" applyBorder="1"/>
    <xf numFmtId="3" fontId="0" fillId="0" borderId="13" xfId="0" applyNumberFormat="1" applyBorder="1"/>
    <xf numFmtId="3" fontId="0" fillId="0" borderId="3" xfId="0" applyNumberFormat="1" applyBorder="1"/>
    <xf numFmtId="0" fontId="0" fillId="0" borderId="3" xfId="0" applyBorder="1" applyAlignment="1">
      <alignment horizontal="left" vertical="center"/>
    </xf>
    <xf numFmtId="0" fontId="16" fillId="0" borderId="3" xfId="2" applyBorder="1" applyAlignment="1">
      <alignment horizontal="center" vertical="center"/>
    </xf>
    <xf numFmtId="0" fontId="16" fillId="0" borderId="5" xfId="2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22"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1"/>
      </font>
      <fill>
        <patternFill>
          <bgColor theme="3" tint="0.89996032593768116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theme="3" tint="0.8999603259376811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0C0C0"/>
      <rgbColor rgb="FF7F8C8D"/>
      <rgbColor rgb="FF9999FF"/>
      <rgbColor rgb="FF993366"/>
      <rgbColor rgb="FFFFFDE7"/>
      <rgbColor rgb="FFEAF4FB"/>
      <rgbColor rgb="FF660066"/>
      <rgbColor rgb="FFFF8080"/>
      <rgbColor rgb="FF2471A3"/>
      <rgbColor rgb="FFF4F9FD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5E8F5"/>
      <rgbColor rgb="FFEBF5FB"/>
      <rgbColor rgb="FFF8F9FA"/>
      <rgbColor rgb="FF99CCFF"/>
      <rgbColor rgb="FFFF99CC"/>
      <rgbColor rgb="FFCC99FF"/>
      <rgbColor rgb="FFF8FCFF"/>
      <rgbColor rgb="FF3366FF"/>
      <rgbColor rgb="FF33CCCC"/>
      <rgbColor rgb="FF99CC00"/>
      <rgbColor rgb="FFFFCC00"/>
      <rgbColor rgb="FFF9A825"/>
      <rgbColor rgb="FFFF6600"/>
      <rgbColor rgb="FF666699"/>
      <rgbColor rgb="FF969696"/>
      <rgbColor rgb="FF1A5276"/>
      <rgbColor rgb="FF27AE60"/>
      <rgbColor rgb="FF003300"/>
      <rgbColor rgb="FF1A252F"/>
      <rgbColor rgb="FF993300"/>
      <rgbColor rgb="FF993366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3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8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6" Type="http://schemas.openxmlformats.org/officeDocument/2006/relationships/hyperlink" Target="../../../../../:x:/s/PNM_MROKP/EYfgMHhzFo5At5BxlR4NHAsBX5XO55R3Ao-5tNP3BkErCg?e=D2CzAF" TargetMode="External"/><Relationship Id="rId3" Type="http://schemas.openxmlformats.org/officeDocument/2006/relationships/hyperlink" Target="../../../../../:x:/s/PNM_MROKP/EYfgMHhzFo5At5BxlR4NHAsBX5XO55R3Ao-5tNP3BkErCg?e=D2CzAF" TargetMode="External"/><Relationship Id="rId21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7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2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7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5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" Type="http://schemas.openxmlformats.org/officeDocument/2006/relationships/hyperlink" Target="../../../../../:x:/s/PNM_MROKP/EU4Ra0YCl_BKmsBycpzxVSkBiGF7HriXUvBp3LWBm-7i1g?e=jwGt8H" TargetMode="External"/><Relationship Id="rId16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0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" Type="http://schemas.openxmlformats.org/officeDocument/2006/relationships/hyperlink" Target="../../../../../:x:/s/PNM_MROKP/EU4Ra0YCl_BKmsBycpzxVSkBiGF7HriXUvBp3LWBm-7i1g?e=jwGt8H" TargetMode="External"/><Relationship Id="rId6" Type="http://schemas.openxmlformats.org/officeDocument/2006/relationships/hyperlink" Target="../../../../../:x:/s/PNM_MROKP/IQDXVENSLEPwRZS2ikrkZ_hiASfLnEeIhI2CEDpSDvPWImc?e=qQVf7x" TargetMode="External"/><Relationship Id="rId11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4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5" Type="http://schemas.openxmlformats.org/officeDocument/2006/relationships/hyperlink" Target="../../../../../:x:/s/PNM_MROKP/IQDXVENSLEPwRZS2ikrkZ_hiASfLnEeIhI2CEDpSDvPWImc?e=qQVf7x" TargetMode="External"/><Relationship Id="rId15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3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0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9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4" Type="http://schemas.openxmlformats.org/officeDocument/2006/relationships/hyperlink" Target="../../../../../:x:/s/PNM_MROKP/EYfgMHhzFo5At5BxlR4NHAsBX5XO55R3Ao-5tNP3BkErCg?e=D2CzAF" TargetMode="External"/><Relationship Id="rId9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14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Relationship Id="rId22" Type="http://schemas.openxmlformats.org/officeDocument/2006/relationships/hyperlink" Target="../../../../../:x:/r/sites/PNM_MROKP/_layouts/15/Doc2.aspx?action=edit&amp;sourcedoc=%7Bb522389b-52b3-4829-86ad-099d2f7b4b7a%7D&amp;wdOrigin=TEAMS-MAGLEV.teamsSdk_ns.rwc&amp;wdExp=TEAMS-TREATMENT&amp;wdhostclicktime=1750127937950&amp;we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3" customWidth="1"/>
    <col min="2" max="2" width="28" customWidth="1"/>
    <col min="3" max="3" width="62" customWidth="1"/>
  </cols>
  <sheetData>
    <row r="1" spans="1:3" ht="37.5" customHeight="1" x14ac:dyDescent="0.25">
      <c r="A1" s="50" t="s">
        <v>55</v>
      </c>
      <c r="B1" s="50"/>
      <c r="C1" s="50"/>
    </row>
    <row r="3" spans="1:3" ht="19.5" customHeight="1" x14ac:dyDescent="0.25">
      <c r="B3" s="51" t="s">
        <v>56</v>
      </c>
      <c r="C3" s="51"/>
    </row>
    <row r="4" spans="1:3" ht="19.5" customHeight="1" x14ac:dyDescent="0.25">
      <c r="B4" s="3" t="s">
        <v>57</v>
      </c>
      <c r="C4" s="4" t="s">
        <v>58</v>
      </c>
    </row>
    <row r="5" spans="1:3" ht="19.5" customHeight="1" x14ac:dyDescent="0.25">
      <c r="B5" s="3" t="s">
        <v>59</v>
      </c>
      <c r="C5" s="4" t="s">
        <v>60</v>
      </c>
    </row>
    <row r="6" spans="1:3" ht="19.5" customHeight="1" x14ac:dyDescent="0.25">
      <c r="B6" s="3" t="s">
        <v>61</v>
      </c>
      <c r="C6" s="4" t="s">
        <v>62</v>
      </c>
    </row>
    <row r="7" spans="1:3" ht="19.5" customHeight="1" x14ac:dyDescent="0.25">
      <c r="B7" s="3" t="s">
        <v>63</v>
      </c>
      <c r="C7" s="4" t="s">
        <v>64</v>
      </c>
    </row>
    <row r="8" spans="1:3" ht="19.5" customHeight="1" x14ac:dyDescent="0.25">
      <c r="B8" s="3" t="s">
        <v>65</v>
      </c>
      <c r="C8" s="4" t="s">
        <v>66</v>
      </c>
    </row>
    <row r="9" spans="1:3" ht="19.5" customHeight="1" x14ac:dyDescent="0.25">
      <c r="B9" s="3" t="s">
        <v>67</v>
      </c>
      <c r="C9" s="4" t="s">
        <v>68</v>
      </c>
    </row>
    <row r="10" spans="1:3" ht="19.5" customHeight="1" x14ac:dyDescent="0.25">
      <c r="B10" s="3" t="s">
        <v>69</v>
      </c>
      <c r="C10" s="5" t="s">
        <v>70</v>
      </c>
    </row>
    <row r="12" spans="1:3" ht="19.5" customHeight="1" x14ac:dyDescent="0.25">
      <c r="B12" s="51" t="s">
        <v>71</v>
      </c>
      <c r="C12" s="51"/>
    </row>
    <row r="13" spans="1:3" ht="19.5" customHeight="1" x14ac:dyDescent="0.25">
      <c r="B13" s="3" t="s">
        <v>72</v>
      </c>
      <c r="C13" s="4" t="s">
        <v>73</v>
      </c>
    </row>
    <row r="14" spans="1:3" ht="19.5" customHeight="1" x14ac:dyDescent="0.25">
      <c r="B14" s="3" t="s">
        <v>74</v>
      </c>
      <c r="C14" s="4" t="s">
        <v>75</v>
      </c>
    </row>
    <row r="15" spans="1:3" ht="19.5" customHeight="1" x14ac:dyDescent="0.25">
      <c r="B15" s="3" t="s">
        <v>76</v>
      </c>
      <c r="C15" s="4" t="s">
        <v>77</v>
      </c>
    </row>
    <row r="17" spans="2:3" ht="19.5" customHeight="1" x14ac:dyDescent="0.25">
      <c r="B17" s="51" t="s">
        <v>78</v>
      </c>
      <c r="C17" s="51"/>
    </row>
    <row r="18" spans="2:3" ht="19.5" customHeight="1" x14ac:dyDescent="0.25">
      <c r="B18" s="3" t="s">
        <v>10</v>
      </c>
      <c r="C18" s="4" t="s">
        <v>79</v>
      </c>
    </row>
    <row r="19" spans="2:3" ht="19.5" customHeight="1" x14ac:dyDescent="0.25">
      <c r="B19" s="3" t="s">
        <v>13</v>
      </c>
      <c r="C19" s="4" t="s">
        <v>80</v>
      </c>
    </row>
    <row r="21" spans="2:3" ht="19.5" customHeight="1" x14ac:dyDescent="0.25">
      <c r="B21" s="51" t="s">
        <v>81</v>
      </c>
      <c r="C21" s="51"/>
    </row>
    <row r="22" spans="2:3" ht="19.5" customHeight="1" x14ac:dyDescent="0.25">
      <c r="B22" s="3" t="s">
        <v>82</v>
      </c>
      <c r="C22" s="4" t="s">
        <v>83</v>
      </c>
    </row>
    <row r="23" spans="2:3" ht="19.5" customHeight="1" x14ac:dyDescent="0.25">
      <c r="B23" s="3" t="s">
        <v>84</v>
      </c>
      <c r="C23" s="4" t="s">
        <v>85</v>
      </c>
    </row>
    <row r="24" spans="2:3" ht="19.5" customHeight="1" x14ac:dyDescent="0.25">
      <c r="B24" s="3" t="s">
        <v>86</v>
      </c>
      <c r="C24" s="4" t="s">
        <v>87</v>
      </c>
    </row>
    <row r="27" spans="2:3" ht="19.5" customHeight="1" x14ac:dyDescent="0.25">
      <c r="B27" s="49" t="s">
        <v>88</v>
      </c>
      <c r="C27" s="49"/>
    </row>
    <row r="28" spans="2:3" ht="18" customHeight="1" x14ac:dyDescent="0.25">
      <c r="B28" s="6" t="s">
        <v>89</v>
      </c>
      <c r="C28" s="4" t="s">
        <v>90</v>
      </c>
    </row>
    <row r="29" spans="2:3" ht="18" customHeight="1" x14ac:dyDescent="0.25">
      <c r="B29" s="6" t="s">
        <v>91</v>
      </c>
      <c r="C29" s="4" t="s">
        <v>92</v>
      </c>
    </row>
    <row r="30" spans="2:3" ht="18" customHeight="1" x14ac:dyDescent="0.25">
      <c r="B30" s="6" t="s">
        <v>93</v>
      </c>
      <c r="C30" s="4" t="s">
        <v>94</v>
      </c>
    </row>
    <row r="31" spans="2:3" ht="18" customHeight="1" x14ac:dyDescent="0.25">
      <c r="B31" s="6" t="s">
        <v>95</v>
      </c>
      <c r="C31" s="4" t="s">
        <v>96</v>
      </c>
    </row>
    <row r="32" spans="2:3" ht="18" customHeight="1" x14ac:dyDescent="0.25">
      <c r="B32" s="6" t="s">
        <v>97</v>
      </c>
      <c r="C32" s="4" t="s">
        <v>98</v>
      </c>
    </row>
  </sheetData>
  <mergeCells count="6">
    <mergeCell ref="B27:C27"/>
    <mergeCell ref="A1:C1"/>
    <mergeCell ref="B3:C3"/>
    <mergeCell ref="B12:C12"/>
    <mergeCell ref="B17:C17"/>
    <mergeCell ref="B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showGridLines="0" tabSelected="1" topLeftCell="Q1" zoomScale="85" zoomScaleNormal="85" workbookViewId="0">
      <pane ySplit="4" topLeftCell="A5" activePane="bottomLeft" state="frozen"/>
      <selection pane="bottomLeft" activeCell="AE3" sqref="AE3:AH40"/>
    </sheetView>
  </sheetViews>
  <sheetFormatPr defaultColWidth="8.7109375" defaultRowHeight="15" x14ac:dyDescent="0.25"/>
  <cols>
    <col min="1" max="1" width="16" customWidth="1"/>
    <col min="2" max="2" width="20" customWidth="1"/>
    <col min="3" max="3" width="44" customWidth="1"/>
    <col min="4" max="4" width="13" customWidth="1"/>
    <col min="5" max="5" width="28" customWidth="1"/>
    <col min="6" max="17" width="14" customWidth="1"/>
    <col min="18" max="19" width="11.28515625" bestFit="1" customWidth="1"/>
    <col min="20" max="20" width="10.5703125" bestFit="1" customWidth="1"/>
    <col min="21" max="21" width="11.28515625" bestFit="1" customWidth="1"/>
    <col min="22" max="23" width="10.5703125" bestFit="1" customWidth="1"/>
    <col min="24" max="24" width="11.7109375" bestFit="1" customWidth="1"/>
    <col min="25" max="30" width="10.28515625" bestFit="1" customWidth="1"/>
    <col min="31" max="34" width="10.28515625" customWidth="1"/>
  </cols>
  <sheetData>
    <row r="1" spans="1:34" ht="33.7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 ht="15.75" customHeight="1" x14ac:dyDescent="0.25">
      <c r="A2" s="56" t="s">
        <v>1</v>
      </c>
      <c r="B2" s="56" t="s">
        <v>2</v>
      </c>
      <c r="C2" s="56" t="s">
        <v>3</v>
      </c>
      <c r="D2" s="56" t="s">
        <v>4</v>
      </c>
      <c r="E2" s="56" t="s">
        <v>5</v>
      </c>
      <c r="F2" s="55" t="s">
        <v>6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</row>
    <row r="3" spans="1:34" ht="18" customHeight="1" x14ac:dyDescent="0.25">
      <c r="A3" s="57"/>
      <c r="B3" s="57"/>
      <c r="C3" s="57"/>
      <c r="D3" s="57"/>
      <c r="E3" s="57"/>
      <c r="F3" s="20">
        <v>202405</v>
      </c>
      <c r="G3" s="20">
        <v>202406</v>
      </c>
      <c r="H3" s="20">
        <v>202407</v>
      </c>
      <c r="I3" s="20">
        <v>202408</v>
      </c>
      <c r="J3" s="20">
        <v>202409</v>
      </c>
      <c r="K3" s="20">
        <v>202410</v>
      </c>
      <c r="L3" s="20">
        <v>202411</v>
      </c>
      <c r="M3" s="20">
        <v>202412</v>
      </c>
      <c r="N3" s="20">
        <v>202501</v>
      </c>
      <c r="O3" s="20">
        <v>202502</v>
      </c>
      <c r="P3" s="20">
        <v>202503</v>
      </c>
      <c r="Q3" s="20">
        <v>202504</v>
      </c>
      <c r="R3" s="20">
        <v>202505</v>
      </c>
      <c r="S3" s="20">
        <v>202506</v>
      </c>
      <c r="T3" s="20">
        <v>202507</v>
      </c>
      <c r="U3" s="20">
        <v>202508</v>
      </c>
      <c r="V3" s="20">
        <v>202509</v>
      </c>
      <c r="W3" s="20">
        <v>202510</v>
      </c>
      <c r="X3" s="20">
        <v>202511</v>
      </c>
      <c r="Y3" s="20">
        <v>202512</v>
      </c>
      <c r="Z3" s="39">
        <v>202601</v>
      </c>
      <c r="AA3" s="39">
        <v>202602</v>
      </c>
      <c r="AB3" s="39">
        <v>202603</v>
      </c>
      <c r="AC3" s="39">
        <v>202604</v>
      </c>
      <c r="AD3" s="39">
        <v>202605</v>
      </c>
      <c r="AE3" s="39">
        <v>202606</v>
      </c>
      <c r="AF3" s="39">
        <v>202607</v>
      </c>
      <c r="AG3" s="39">
        <v>202608</v>
      </c>
      <c r="AH3" s="39">
        <v>202609</v>
      </c>
    </row>
    <row r="4" spans="1:34" ht="19.5" customHeight="1" x14ac:dyDescent="0.25">
      <c r="A4" s="52" t="s">
        <v>7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34" ht="15" customHeight="1" x14ac:dyDescent="0.25">
      <c r="A5" t="s">
        <v>8</v>
      </c>
      <c r="B5" s="46" t="s">
        <v>9</v>
      </c>
      <c r="C5" s="46" t="s">
        <v>174</v>
      </c>
      <c r="D5" s="35" t="s">
        <v>10</v>
      </c>
      <c r="E5" s="35"/>
      <c r="F5" s="21">
        <f>F6/F7</f>
        <v>405.99921052631578</v>
      </c>
      <c r="G5" s="21">
        <v>396.89002642855309</v>
      </c>
      <c r="H5" s="21">
        <v>406.17340389300779</v>
      </c>
      <c r="I5" s="21">
        <v>413.02200931470395</v>
      </c>
      <c r="J5" s="21">
        <v>418.26524784482757</v>
      </c>
      <c r="K5" s="21">
        <v>424.00144804786754</v>
      </c>
      <c r="L5" s="21">
        <v>424.13292193430357</v>
      </c>
      <c r="M5" s="21">
        <v>420.24594463069104</v>
      </c>
      <c r="N5" s="21">
        <v>419.70911343983192</v>
      </c>
      <c r="O5" s="21">
        <v>415.67255037482056</v>
      </c>
      <c r="P5" s="21">
        <v>389.21530673019657</v>
      </c>
      <c r="Q5" s="21">
        <v>392.68191054361188</v>
      </c>
      <c r="R5" s="21">
        <f>R6/R7</f>
        <v>393.84623885470302</v>
      </c>
      <c r="S5" s="21">
        <f>S6/S7</f>
        <v>377.18352997832892</v>
      </c>
      <c r="T5" s="21">
        <f>T6/T7</f>
        <v>384.56366806650459</v>
      </c>
      <c r="U5" s="21">
        <f t="shared" ref="U5:W5" si="0">U6/U7</f>
        <v>389.90788295013436</v>
      </c>
      <c r="V5" s="21">
        <f t="shared" si="0"/>
        <v>399.77099704051432</v>
      </c>
      <c r="W5" s="21">
        <f t="shared" si="0"/>
        <v>406.88922909260748</v>
      </c>
      <c r="X5" s="21">
        <v>410.41734282573418</v>
      </c>
      <c r="Y5" s="21">
        <v>403.93969642397735</v>
      </c>
      <c r="Z5" s="21">
        <v>397</v>
      </c>
      <c r="AA5" s="21">
        <v>391</v>
      </c>
      <c r="AB5" s="21">
        <v>383</v>
      </c>
      <c r="AC5" s="21">
        <v>417</v>
      </c>
      <c r="AD5" s="21">
        <v>407.72176372884877</v>
      </c>
      <c r="AE5" s="21">
        <v>409</v>
      </c>
      <c r="AF5" s="21">
        <v>425</v>
      </c>
      <c r="AG5" s="21">
        <v>439</v>
      </c>
      <c r="AH5" s="21">
        <v>442</v>
      </c>
    </row>
    <row r="6" spans="1:34" ht="15" customHeight="1" x14ac:dyDescent="0.25">
      <c r="A6" t="s">
        <v>11</v>
      </c>
      <c r="B6" s="46" t="s">
        <v>9</v>
      </c>
      <c r="C6" s="46" t="s">
        <v>12</v>
      </c>
      <c r="D6" s="35" t="s">
        <v>13</v>
      </c>
      <c r="E6" s="47" t="s">
        <v>14</v>
      </c>
      <c r="F6" s="21">
        <v>15427970</v>
      </c>
      <c r="G6" s="21">
        <v>15467995</v>
      </c>
      <c r="H6" s="21">
        <v>15504045</v>
      </c>
      <c r="I6" s="21">
        <v>15519302</v>
      </c>
      <c r="J6" s="21">
        <v>15526006</v>
      </c>
      <c r="K6" s="21">
        <v>15518877</v>
      </c>
      <c r="L6" s="21">
        <v>15533020</v>
      </c>
      <c r="M6" s="21">
        <v>15544057</v>
      </c>
      <c r="N6" s="21">
        <v>15580022</v>
      </c>
      <c r="O6" s="21">
        <v>15636770</v>
      </c>
      <c r="P6" s="21">
        <v>15683820</v>
      </c>
      <c r="Q6" s="21">
        <v>15653479</v>
      </c>
      <c r="R6" s="40">
        <v>15680988</v>
      </c>
      <c r="S6" s="21">
        <v>15664432</v>
      </c>
      <c r="T6" s="21">
        <v>15659048</v>
      </c>
      <c r="U6" s="21">
        <v>15669618</v>
      </c>
      <c r="V6" s="21">
        <v>15669424</v>
      </c>
      <c r="W6" s="21">
        <v>15681104</v>
      </c>
      <c r="X6" s="21">
        <v>15680405</v>
      </c>
      <c r="Y6" s="21">
        <v>15701136</v>
      </c>
      <c r="Z6" s="21">
        <v>15721405</v>
      </c>
      <c r="AA6" s="21">
        <v>15746480</v>
      </c>
      <c r="AB6" s="21">
        <v>15768544</v>
      </c>
      <c r="AC6" s="21">
        <v>15702396</v>
      </c>
      <c r="AD6" s="21">
        <v>15710335</v>
      </c>
      <c r="AE6" s="21">
        <v>15722466</v>
      </c>
      <c r="AF6" s="21">
        <v>15745005</v>
      </c>
      <c r="AG6" s="21">
        <v>15752766</v>
      </c>
      <c r="AH6" s="21">
        <v>15758336</v>
      </c>
    </row>
    <row r="7" spans="1:34" ht="15" customHeight="1" x14ac:dyDescent="0.25">
      <c r="A7" t="s">
        <v>15</v>
      </c>
      <c r="B7" s="46" t="s">
        <v>9</v>
      </c>
      <c r="C7" s="46" t="s">
        <v>16</v>
      </c>
      <c r="D7" s="35" t="s">
        <v>13</v>
      </c>
      <c r="E7" s="47" t="s">
        <v>14</v>
      </c>
      <c r="F7" s="21">
        <v>38000</v>
      </c>
      <c r="G7" s="21">
        <v>38973</v>
      </c>
      <c r="H7" s="21">
        <v>38171</v>
      </c>
      <c r="I7" s="21">
        <v>37575</v>
      </c>
      <c r="J7" s="21">
        <v>37120</v>
      </c>
      <c r="K7" s="21">
        <v>36601</v>
      </c>
      <c r="L7" s="21">
        <v>36623</v>
      </c>
      <c r="M7" s="21">
        <v>36988</v>
      </c>
      <c r="N7" s="21">
        <v>37121</v>
      </c>
      <c r="O7" s="21">
        <v>37618</v>
      </c>
      <c r="P7" s="21">
        <v>40296</v>
      </c>
      <c r="Q7" s="21">
        <v>39863</v>
      </c>
      <c r="R7" s="21">
        <v>39815</v>
      </c>
      <c r="S7" s="21">
        <v>41530</v>
      </c>
      <c r="T7" s="21">
        <v>40719</v>
      </c>
      <c r="U7" s="21">
        <v>40188</v>
      </c>
      <c r="V7" s="21">
        <v>39196</v>
      </c>
      <c r="W7" s="21">
        <v>38539</v>
      </c>
      <c r="X7" s="21">
        <v>38206</v>
      </c>
      <c r="Y7" s="21">
        <v>38870</v>
      </c>
      <c r="Z7" s="21">
        <v>39647</v>
      </c>
      <c r="AA7" s="21">
        <v>40230</v>
      </c>
      <c r="AB7" s="21">
        <v>41190</v>
      </c>
      <c r="AC7" s="21">
        <v>37625</v>
      </c>
      <c r="AD7" s="21">
        <v>38532</v>
      </c>
      <c r="AE7" s="21">
        <v>38427</v>
      </c>
      <c r="AF7" s="21">
        <v>37011</v>
      </c>
      <c r="AG7" s="21">
        <v>35879</v>
      </c>
      <c r="AH7" s="21">
        <v>35618</v>
      </c>
    </row>
    <row r="8" spans="1:34" ht="15" customHeight="1" x14ac:dyDescent="0.25">
      <c r="A8" t="s">
        <v>17</v>
      </c>
      <c r="B8" s="46" t="s">
        <v>9</v>
      </c>
      <c r="C8" s="46" t="s">
        <v>175</v>
      </c>
      <c r="D8" s="35" t="s">
        <v>10</v>
      </c>
      <c r="E8" s="35"/>
      <c r="F8" s="21">
        <v>22.93578947368421</v>
      </c>
      <c r="G8" s="21">
        <v>22.437379724424602</v>
      </c>
      <c r="H8" s="21">
        <v>22.995205784496083</v>
      </c>
      <c r="I8" s="21">
        <v>23.455968063872255</v>
      </c>
      <c r="J8" s="21">
        <v>23.815813577586209</v>
      </c>
      <c r="K8" s="21">
        <v>24.233026420043167</v>
      </c>
      <c r="L8" s="21">
        <v>24.347459246921332</v>
      </c>
      <c r="M8" s="21">
        <v>24.237996106845465</v>
      </c>
      <c r="N8" s="21">
        <v>24.275450553595</v>
      </c>
      <c r="O8" s="21">
        <v>24.081503535541497</v>
      </c>
      <c r="P8" s="21">
        <v>22.55891403613262</v>
      </c>
      <c r="Q8" s="21">
        <v>22.859318164714146</v>
      </c>
      <c r="R8" s="21">
        <f>R9/R10</f>
        <v>23.053145799321864</v>
      </c>
      <c r="S8" s="21">
        <f>S9/S10</f>
        <v>22.236383337346496</v>
      </c>
      <c r="T8" s="21">
        <f>T9/T10</f>
        <v>22.820526044352761</v>
      </c>
      <c r="U8" s="21">
        <f>U9/U10</f>
        <v>23.199810888822533</v>
      </c>
      <c r="V8" s="21">
        <f>V9/V10</f>
        <v>23.889197877334421</v>
      </c>
      <c r="W8" s="21">
        <f t="shared" ref="W8" si="1">W9/W10</f>
        <v>24.389086380030619</v>
      </c>
      <c r="X8" s="21">
        <v>24.687850075904308</v>
      </c>
      <c r="Y8" s="21">
        <v>24.340159506045794</v>
      </c>
      <c r="Z8" s="21">
        <v>24</v>
      </c>
      <c r="AA8" s="21">
        <v>23.65843897588864</v>
      </c>
      <c r="AB8" s="21">
        <v>23</v>
      </c>
      <c r="AC8" s="21">
        <v>25</v>
      </c>
      <c r="AD8" s="21">
        <v>25</v>
      </c>
      <c r="AE8" s="21">
        <v>25</v>
      </c>
      <c r="AF8" s="21">
        <v>26</v>
      </c>
      <c r="AG8" s="21">
        <v>27</v>
      </c>
      <c r="AH8" s="21">
        <v>27</v>
      </c>
    </row>
    <row r="9" spans="1:34" ht="15" customHeight="1" x14ac:dyDescent="0.25">
      <c r="A9" t="s">
        <v>18</v>
      </c>
      <c r="B9" s="46" t="s">
        <v>9</v>
      </c>
      <c r="C9" s="46" t="s">
        <v>19</v>
      </c>
      <c r="D9" s="35" t="s">
        <v>13</v>
      </c>
      <c r="E9" s="47" t="s">
        <v>14</v>
      </c>
      <c r="F9" s="21">
        <v>871560</v>
      </c>
      <c r="G9" s="21">
        <v>874452</v>
      </c>
      <c r="H9" s="21">
        <v>877750</v>
      </c>
      <c r="I9" s="21">
        <v>881358</v>
      </c>
      <c r="J9" s="21">
        <v>884043</v>
      </c>
      <c r="K9" s="21">
        <v>886953</v>
      </c>
      <c r="L9" s="21">
        <v>891677</v>
      </c>
      <c r="M9" s="21">
        <v>896515</v>
      </c>
      <c r="N9" s="21">
        <v>901129</v>
      </c>
      <c r="O9" s="21">
        <v>905898</v>
      </c>
      <c r="P9" s="21">
        <v>909034</v>
      </c>
      <c r="Q9" s="21">
        <v>911241</v>
      </c>
      <c r="R9" s="40">
        <v>917861</v>
      </c>
      <c r="S9" s="21">
        <v>923477</v>
      </c>
      <c r="T9" s="21">
        <v>929229</v>
      </c>
      <c r="U9" s="21">
        <v>932354</v>
      </c>
      <c r="V9" s="21">
        <v>936361</v>
      </c>
      <c r="W9" s="21">
        <v>939931</v>
      </c>
      <c r="X9" s="21">
        <v>943224</v>
      </c>
      <c r="Y9" s="21">
        <v>946102</v>
      </c>
      <c r="Z9" s="21">
        <v>949658</v>
      </c>
      <c r="AA9" s="21">
        <v>951779</v>
      </c>
      <c r="AB9" s="21">
        <v>952676</v>
      </c>
      <c r="AC9" s="21">
        <v>954022</v>
      </c>
      <c r="AD9" s="21">
        <v>954512</v>
      </c>
      <c r="AE9" s="21">
        <v>955703</v>
      </c>
      <c r="AF9" s="21">
        <v>956713</v>
      </c>
      <c r="AG9" s="21">
        <v>957101</v>
      </c>
      <c r="AH9" s="21">
        <v>957286</v>
      </c>
    </row>
    <row r="10" spans="1:34" ht="15" customHeight="1" x14ac:dyDescent="0.25">
      <c r="A10" t="s">
        <v>20</v>
      </c>
      <c r="B10" s="46" t="s">
        <v>9</v>
      </c>
      <c r="C10" s="46" t="s">
        <v>16</v>
      </c>
      <c r="D10" s="35" t="s">
        <v>13</v>
      </c>
      <c r="E10" s="47" t="s">
        <v>14</v>
      </c>
      <c r="F10" s="21">
        <v>38000</v>
      </c>
      <c r="G10" s="21">
        <v>38973</v>
      </c>
      <c r="H10" s="21">
        <v>38171</v>
      </c>
      <c r="I10" s="21">
        <v>37575</v>
      </c>
      <c r="J10" s="21">
        <v>37120</v>
      </c>
      <c r="K10" s="21">
        <v>36601</v>
      </c>
      <c r="L10" s="21">
        <v>36623</v>
      </c>
      <c r="M10" s="21">
        <v>36988</v>
      </c>
      <c r="N10" s="21">
        <v>37121</v>
      </c>
      <c r="O10" s="21">
        <v>37618</v>
      </c>
      <c r="P10" s="21">
        <v>40296</v>
      </c>
      <c r="Q10" s="21">
        <v>39863</v>
      </c>
      <c r="R10" s="21">
        <v>39815</v>
      </c>
      <c r="S10" s="21">
        <v>41530</v>
      </c>
      <c r="T10" s="21">
        <v>40719</v>
      </c>
      <c r="U10" s="21">
        <v>40188</v>
      </c>
      <c r="V10" s="21">
        <v>39196</v>
      </c>
      <c r="W10" s="21">
        <v>38539</v>
      </c>
      <c r="X10" s="21">
        <v>38206</v>
      </c>
      <c r="Y10" s="21">
        <v>38870</v>
      </c>
      <c r="Z10" s="21">
        <v>39647</v>
      </c>
      <c r="AA10" s="21">
        <v>40230</v>
      </c>
      <c r="AB10" s="21">
        <v>41190</v>
      </c>
      <c r="AC10" s="21">
        <v>37625</v>
      </c>
      <c r="AD10" s="21">
        <v>38532</v>
      </c>
      <c r="AE10" s="21">
        <v>38427</v>
      </c>
      <c r="AF10" s="21">
        <v>37011</v>
      </c>
      <c r="AG10" s="21">
        <v>35879</v>
      </c>
      <c r="AH10" s="21">
        <v>35618</v>
      </c>
    </row>
    <row r="11" spans="1:34" ht="15" customHeight="1" x14ac:dyDescent="0.25">
      <c r="A11" t="s">
        <v>21</v>
      </c>
      <c r="B11" s="46" t="s">
        <v>9</v>
      </c>
      <c r="C11" s="46" t="s">
        <v>176</v>
      </c>
      <c r="D11" s="35" t="s">
        <v>10</v>
      </c>
      <c r="E11" s="35"/>
      <c r="F11" s="22">
        <v>0.43597210708538553</v>
      </c>
      <c r="G11" s="22">
        <v>0.43988173455978974</v>
      </c>
      <c r="H11" s="22">
        <v>0.44459037279231489</v>
      </c>
      <c r="I11" s="22">
        <v>0.43662945220897487</v>
      </c>
      <c r="J11" s="22">
        <v>0.42110846769245386</v>
      </c>
      <c r="K11" s="22">
        <v>0.41360626128838052</v>
      </c>
      <c r="L11" s="22">
        <v>0.40693556437620326</v>
      </c>
      <c r="M11" s="22">
        <v>0.40584354420037955</v>
      </c>
      <c r="N11" s="22">
        <v>0.40365922020920053</v>
      </c>
      <c r="O11" s="22">
        <v>0.40137441773728944</v>
      </c>
      <c r="P11" s="22">
        <v>0.39725775337587177</v>
      </c>
      <c r="Q11" s="22">
        <v>0.41426611796982166</v>
      </c>
      <c r="R11" s="22">
        <f>R12/R13</f>
        <v>0.39734431267668413</v>
      </c>
      <c r="S11" s="41">
        <f>S12/S13</f>
        <v>0.41107400123354787</v>
      </c>
      <c r="T11" s="41">
        <f>T12/T13</f>
        <v>0.41582374254459731</v>
      </c>
      <c r="U11" s="41">
        <f t="shared" ref="U11:W11" si="2">U12/U13</f>
        <v>0.4184321709579647</v>
      </c>
      <c r="V11" s="41">
        <f t="shared" si="2"/>
        <v>0.42732026343069701</v>
      </c>
      <c r="W11" s="41">
        <f t="shared" si="2"/>
        <v>0.42797338587623862</v>
      </c>
      <c r="X11" s="22">
        <v>0.42770754415590345</v>
      </c>
      <c r="Y11" s="22">
        <v>0.42322749103854235</v>
      </c>
      <c r="Z11" s="22">
        <v>0.42017661438059245</v>
      </c>
      <c r="AA11" s="22">
        <v>0.41496714446222466</v>
      </c>
      <c r="AB11" s="22">
        <v>0.41312146839091357</v>
      </c>
      <c r="AC11" s="22">
        <v>0.4406883519478122</v>
      </c>
      <c r="AD11" s="22">
        <v>0.44348181415309529</v>
      </c>
      <c r="AE11" s="22">
        <v>0.44096787247348845</v>
      </c>
      <c r="AF11" s="22">
        <v>0.43711028581161376</v>
      </c>
      <c r="AG11" s="22">
        <v>0.43756048039989787</v>
      </c>
      <c r="AH11" s="22">
        <v>0.43405229319501393</v>
      </c>
    </row>
    <row r="12" spans="1:34" ht="15" customHeight="1" x14ac:dyDescent="0.25">
      <c r="A12" t="s">
        <v>22</v>
      </c>
      <c r="B12" s="46" t="s">
        <v>9</v>
      </c>
      <c r="C12" s="46" t="s">
        <v>23</v>
      </c>
      <c r="D12" s="35" t="s">
        <v>13</v>
      </c>
      <c r="E12" s="47" t="s">
        <v>14</v>
      </c>
      <c r="F12" s="21">
        <v>18626</v>
      </c>
      <c r="G12" s="21">
        <v>18746</v>
      </c>
      <c r="H12" s="21">
        <v>18844</v>
      </c>
      <c r="I12" s="21">
        <v>18427</v>
      </c>
      <c r="J12" s="21">
        <v>17730</v>
      </c>
      <c r="K12" s="21">
        <v>17404</v>
      </c>
      <c r="L12" s="21">
        <v>17121</v>
      </c>
      <c r="M12" s="21">
        <v>17055</v>
      </c>
      <c r="N12" s="21">
        <v>16922</v>
      </c>
      <c r="O12" s="21">
        <v>16860</v>
      </c>
      <c r="P12" s="21">
        <v>16732</v>
      </c>
      <c r="Q12" s="21">
        <v>17516</v>
      </c>
      <c r="R12" s="21">
        <v>16937</v>
      </c>
      <c r="S12" s="21">
        <v>17662</v>
      </c>
      <c r="T12" s="21">
        <v>17999</v>
      </c>
      <c r="U12" s="21">
        <v>18223</v>
      </c>
      <c r="V12" s="21">
        <v>18687</v>
      </c>
      <c r="W12" s="21">
        <v>18734</v>
      </c>
      <c r="X12" s="21">
        <v>18743</v>
      </c>
      <c r="Y12" s="21">
        <v>18586</v>
      </c>
      <c r="Z12" s="21">
        <v>18521</v>
      </c>
      <c r="AA12" s="21">
        <v>18282</v>
      </c>
      <c r="AB12" s="21">
        <v>18156</v>
      </c>
      <c r="AC12" s="21">
        <v>19298</v>
      </c>
      <c r="AD12" s="21">
        <v>19264</v>
      </c>
      <c r="AE12" s="21">
        <v>18979</v>
      </c>
      <c r="AF12" s="21">
        <v>18606</v>
      </c>
      <c r="AG12" s="21">
        <v>18426</v>
      </c>
      <c r="AH12" s="21">
        <v>18110</v>
      </c>
    </row>
    <row r="13" spans="1:34" ht="15" customHeight="1" x14ac:dyDescent="0.25">
      <c r="A13" t="s">
        <v>24</v>
      </c>
      <c r="B13" s="46" t="s">
        <v>9</v>
      </c>
      <c r="C13" s="46" t="s">
        <v>177</v>
      </c>
      <c r="D13" s="35" t="s">
        <v>13</v>
      </c>
      <c r="E13" s="47" t="s">
        <v>14</v>
      </c>
      <c r="F13" s="21">
        <v>42722.916666666664</v>
      </c>
      <c r="G13" s="21">
        <v>42616</v>
      </c>
      <c r="H13" s="21">
        <v>42385.083333333336</v>
      </c>
      <c r="I13" s="21">
        <v>42202.833333333336</v>
      </c>
      <c r="J13" s="21">
        <v>42103.166666666664</v>
      </c>
      <c r="K13" s="21">
        <v>42078.666666666664</v>
      </c>
      <c r="L13" s="21">
        <v>42073</v>
      </c>
      <c r="M13" s="21">
        <v>42023.583333333336</v>
      </c>
      <c r="N13" s="21">
        <v>41921.5</v>
      </c>
      <c r="O13" s="21">
        <v>42005.666666666664</v>
      </c>
      <c r="P13" s="21">
        <v>42118.75</v>
      </c>
      <c r="Q13" s="21">
        <v>42282</v>
      </c>
      <c r="R13" s="21">
        <v>42625.5</v>
      </c>
      <c r="S13" s="21">
        <v>42965.5</v>
      </c>
      <c r="T13" s="21">
        <v>43285.166666666701</v>
      </c>
      <c r="U13" s="21">
        <v>43550.666666666664</v>
      </c>
      <c r="V13" s="21">
        <v>43730.666666666664</v>
      </c>
      <c r="W13" s="21">
        <v>43773.75</v>
      </c>
      <c r="X13" s="21">
        <v>43822</v>
      </c>
      <c r="Y13" s="21">
        <v>43914.916666666664</v>
      </c>
      <c r="Z13" s="21">
        <v>44079</v>
      </c>
      <c r="AA13" s="21">
        <v>44056.5</v>
      </c>
      <c r="AB13" s="21">
        <v>43948.333333333336</v>
      </c>
      <c r="AC13" s="21">
        <v>43790.583333333336</v>
      </c>
      <c r="AD13" s="21">
        <v>43438.083333333336</v>
      </c>
      <c r="AE13" s="21">
        <v>43039.416666666664</v>
      </c>
      <c r="AF13" s="21">
        <v>42565.916666666664</v>
      </c>
      <c r="AG13" s="21">
        <v>42110.75</v>
      </c>
      <c r="AH13" s="21">
        <v>41723.083333333336</v>
      </c>
    </row>
    <row r="14" spans="1:34" ht="15" customHeight="1" x14ac:dyDescent="0.25">
      <c r="A14" t="s">
        <v>25</v>
      </c>
      <c r="B14" s="46" t="s">
        <v>9</v>
      </c>
      <c r="C14" s="46" t="s">
        <v>178</v>
      </c>
      <c r="D14" s="35" t="s">
        <v>10</v>
      </c>
      <c r="E14" s="35"/>
      <c r="F14" s="22">
        <v>0.23195531242065415</v>
      </c>
      <c r="G14" s="22">
        <v>0.25595319712966774</v>
      </c>
      <c r="H14" s="22">
        <v>0.27975703772923721</v>
      </c>
      <c r="I14" s="22">
        <v>0.29797432377098537</v>
      </c>
      <c r="J14" s="22">
        <v>0.28831842532664292</v>
      </c>
      <c r="K14" s="22">
        <v>0.29969720272998174</v>
      </c>
      <c r="L14" s="22">
        <v>0.29362083151831952</v>
      </c>
      <c r="M14" s="22">
        <v>0.28336039157721293</v>
      </c>
      <c r="N14" s="22">
        <v>0.26007783243997357</v>
      </c>
      <c r="O14" s="22">
        <v>0.28326299680007422</v>
      </c>
      <c r="P14" s="22">
        <v>0.25338747099767983</v>
      </c>
      <c r="Q14" s="22">
        <v>0.25645688504212516</v>
      </c>
      <c r="R14" s="22">
        <f>R15/R16</f>
        <v>0.31158183159447783</v>
      </c>
      <c r="S14" s="41">
        <f>S15/S16</f>
        <v>0.32998871190267154</v>
      </c>
      <c r="T14" s="41">
        <f>T15/T16</f>
        <v>0.35372311914410071</v>
      </c>
      <c r="U14" s="41">
        <f t="shared" ref="U14:W14" si="3">U15/U16</f>
        <v>0.34780663490146074</v>
      </c>
      <c r="V14" s="41">
        <f t="shared" si="3"/>
        <v>0.30675143390228732</v>
      </c>
      <c r="W14" s="41">
        <f t="shared" si="3"/>
        <v>0.19917396567684967</v>
      </c>
      <c r="X14" s="22">
        <v>0.25604372002004627</v>
      </c>
      <c r="Y14" s="22">
        <v>0.24354678873106508</v>
      </c>
      <c r="Z14" s="22">
        <v>0.2283839633875826</v>
      </c>
      <c r="AA14" s="22">
        <v>0.21404736903511842</v>
      </c>
      <c r="AB14" s="22">
        <v>0.16716903497440314</v>
      </c>
      <c r="AC14" s="22">
        <v>0.18667115935401574</v>
      </c>
      <c r="AD14" s="22">
        <v>0.21858151104940415</v>
      </c>
      <c r="AE14" s="22">
        <v>0.25303107725182328</v>
      </c>
      <c r="AF14" s="22">
        <v>0.28445518689421129</v>
      </c>
      <c r="AG14" s="22">
        <v>0.27101755816620371</v>
      </c>
      <c r="AH14" s="22">
        <v>0.26727896597095019</v>
      </c>
    </row>
    <row r="15" spans="1:34" ht="15" customHeight="1" x14ac:dyDescent="0.25">
      <c r="A15" t="s">
        <v>26</v>
      </c>
      <c r="B15" s="46" t="s">
        <v>9</v>
      </c>
      <c r="C15" s="46" t="s">
        <v>179</v>
      </c>
      <c r="D15" s="35" t="s">
        <v>13</v>
      </c>
      <c r="E15" s="47" t="s">
        <v>14</v>
      </c>
      <c r="F15" s="21">
        <v>10049</v>
      </c>
      <c r="G15" s="21">
        <v>11200</v>
      </c>
      <c r="H15" s="21">
        <v>11975</v>
      </c>
      <c r="I15" s="21">
        <v>12371</v>
      </c>
      <c r="J15" s="21">
        <v>11894</v>
      </c>
      <c r="K15" s="21">
        <v>12471</v>
      </c>
      <c r="L15" s="21">
        <v>12133</v>
      </c>
      <c r="M15" s="21">
        <v>11694</v>
      </c>
      <c r="N15" s="21">
        <v>10626</v>
      </c>
      <c r="O15" s="21">
        <v>12216</v>
      </c>
      <c r="P15" s="21">
        <v>10921</v>
      </c>
      <c r="Q15" s="21">
        <v>11141</v>
      </c>
      <c r="R15" s="21">
        <v>14783</v>
      </c>
      <c r="S15" s="21">
        <v>15786</v>
      </c>
      <c r="T15" s="21">
        <v>16498</v>
      </c>
      <c r="U15" s="21">
        <v>15548</v>
      </c>
      <c r="V15" s="21">
        <v>13317</v>
      </c>
      <c r="W15" s="21">
        <v>8391</v>
      </c>
      <c r="X15" s="21">
        <v>10729</v>
      </c>
      <c r="Y15" s="21">
        <v>10322</v>
      </c>
      <c r="Z15" s="21">
        <v>9781</v>
      </c>
      <c r="AA15" s="21">
        <v>9173</v>
      </c>
      <c r="AB15" s="21">
        <v>6988</v>
      </c>
      <c r="AC15" s="21">
        <v>7756</v>
      </c>
      <c r="AD15" s="21">
        <v>9446</v>
      </c>
      <c r="AE15" s="21">
        <v>10894</v>
      </c>
      <c r="AF15" s="21">
        <v>11651</v>
      </c>
      <c r="AG15" s="21">
        <v>10635</v>
      </c>
      <c r="AH15" s="21">
        <v>10360</v>
      </c>
    </row>
    <row r="16" spans="1:34" ht="15" customHeight="1" x14ac:dyDescent="0.25">
      <c r="A16" t="s">
        <v>27</v>
      </c>
      <c r="B16" s="46" t="s">
        <v>9</v>
      </c>
      <c r="C16" s="46" t="s">
        <v>28</v>
      </c>
      <c r="D16" s="35" t="s">
        <v>13</v>
      </c>
      <c r="E16" s="47" t="s">
        <v>14</v>
      </c>
      <c r="F16" s="21">
        <v>43323</v>
      </c>
      <c r="G16" s="21">
        <v>43758</v>
      </c>
      <c r="H16" s="21">
        <v>42805</v>
      </c>
      <c r="I16" s="21">
        <v>41517</v>
      </c>
      <c r="J16" s="21">
        <v>41253</v>
      </c>
      <c r="K16" s="21">
        <v>41612</v>
      </c>
      <c r="L16" s="21">
        <v>41322</v>
      </c>
      <c r="M16" s="21">
        <v>41269</v>
      </c>
      <c r="N16" s="21">
        <v>40857</v>
      </c>
      <c r="O16" s="21">
        <v>43126</v>
      </c>
      <c r="P16" s="21">
        <v>43100</v>
      </c>
      <c r="Q16" s="21">
        <v>43442</v>
      </c>
      <c r="R16" s="21">
        <v>47445</v>
      </c>
      <c r="S16" s="21">
        <v>47838</v>
      </c>
      <c r="T16" s="21">
        <v>46641</v>
      </c>
      <c r="U16" s="21">
        <v>44703</v>
      </c>
      <c r="V16" s="21">
        <v>43413</v>
      </c>
      <c r="W16" s="21">
        <v>42129</v>
      </c>
      <c r="X16" s="21">
        <v>41903</v>
      </c>
      <c r="Y16" s="21">
        <v>42382</v>
      </c>
      <c r="Z16" s="21">
        <v>42827</v>
      </c>
      <c r="AA16" s="21">
        <v>42855</v>
      </c>
      <c r="AB16" s="21">
        <v>41802</v>
      </c>
      <c r="AC16" s="21">
        <v>41549</v>
      </c>
      <c r="AD16" s="21">
        <v>43215</v>
      </c>
      <c r="AE16" s="21">
        <v>43054</v>
      </c>
      <c r="AF16" s="21">
        <v>40959</v>
      </c>
      <c r="AG16" s="21">
        <v>39241</v>
      </c>
      <c r="AH16" s="21">
        <v>38761</v>
      </c>
    </row>
    <row r="17" spans="1:34" ht="15" customHeight="1" x14ac:dyDescent="0.25">
      <c r="A17" t="s">
        <v>29</v>
      </c>
      <c r="B17" s="46" t="s">
        <v>9</v>
      </c>
      <c r="C17" s="46" t="s">
        <v>30</v>
      </c>
      <c r="D17" s="35" t="s">
        <v>10</v>
      </c>
      <c r="E17" s="47" t="s">
        <v>14</v>
      </c>
      <c r="F17" s="22">
        <v>0.43440000000000001</v>
      </c>
      <c r="G17" s="22">
        <v>0.48730000000000001</v>
      </c>
      <c r="H17" s="22">
        <v>0.44629999999999997</v>
      </c>
      <c r="I17" s="22">
        <v>0.49765099601138507</v>
      </c>
      <c r="J17" s="22">
        <v>0.40708204917384716</v>
      </c>
      <c r="K17" s="22">
        <v>0.410935946828212</v>
      </c>
      <c r="L17" s="22">
        <v>0.37351769362257287</v>
      </c>
      <c r="M17" s="22">
        <v>0.40780571316260844</v>
      </c>
      <c r="N17" s="22">
        <v>0.44684176468467501</v>
      </c>
      <c r="O17" s="22">
        <v>0.47348881364759865</v>
      </c>
      <c r="P17" s="22">
        <v>0.4802327466394648</v>
      </c>
      <c r="Q17" s="22">
        <v>0.44450787800815755</v>
      </c>
      <c r="R17" s="22">
        <v>0.52386654189883131</v>
      </c>
      <c r="S17" s="22">
        <v>0.508721808635335</v>
      </c>
      <c r="T17" s="22">
        <v>0.49619998988671199</v>
      </c>
      <c r="U17" s="22">
        <v>0.53696665010237432</v>
      </c>
      <c r="V17" s="22">
        <v>0.53679661445356319</v>
      </c>
      <c r="W17" s="22">
        <v>0.54966601737449761</v>
      </c>
      <c r="X17" s="22">
        <v>0.5677089328181707</v>
      </c>
      <c r="Y17" s="22">
        <v>0.56379050123216179</v>
      </c>
      <c r="Z17" s="22">
        <v>0.56822608271199049</v>
      </c>
      <c r="AA17" s="22">
        <v>0.57554941595464904</v>
      </c>
      <c r="AB17" s="22">
        <v>0.58682202388681115</v>
      </c>
      <c r="AC17" s="22">
        <v>0.57365201810393096</v>
      </c>
      <c r="AD17" s="22">
        <v>0.56516764064527503</v>
      </c>
      <c r="AE17" s="22">
        <v>0.58835171645513884</v>
      </c>
      <c r="AF17" s="22">
        <v>0.58020000000000005</v>
      </c>
      <c r="AG17" s="22">
        <v>0.56466339199371185</v>
      </c>
      <c r="AH17" s="22">
        <v>0.54311471734229877</v>
      </c>
    </row>
    <row r="18" spans="1:34" ht="15" customHeight="1" x14ac:dyDescent="0.25">
      <c r="A18" t="s">
        <v>31</v>
      </c>
      <c r="B18" s="46" t="s">
        <v>9</v>
      </c>
      <c r="C18" s="46" t="s">
        <v>32</v>
      </c>
      <c r="D18" s="35" t="s">
        <v>10</v>
      </c>
      <c r="E18" s="47" t="s">
        <v>14</v>
      </c>
      <c r="F18" s="22">
        <v>3.7900000000000003E-2</v>
      </c>
      <c r="G18" s="22">
        <v>6.5600000000000006E-2</v>
      </c>
      <c r="H18" s="22">
        <v>6.3600000000000004E-2</v>
      </c>
      <c r="I18" s="22">
        <v>9.7204837700262933E-2</v>
      </c>
      <c r="J18" s="22">
        <v>0.12578334729683052</v>
      </c>
      <c r="K18" s="22">
        <v>0.18771340359463659</v>
      </c>
      <c r="L18" s="22">
        <v>0.2213127840000105</v>
      </c>
      <c r="M18" s="22">
        <v>0.22680206820012799</v>
      </c>
      <c r="N18" s="22">
        <v>0.25128922173736068</v>
      </c>
      <c r="O18" s="22">
        <v>0.27529582968445787</v>
      </c>
      <c r="P18" s="22">
        <v>0.31237234033863537</v>
      </c>
      <c r="Q18" s="22">
        <v>0.29878956146864233</v>
      </c>
      <c r="R18" s="22">
        <v>0.39678464933729352</v>
      </c>
      <c r="S18" s="22">
        <v>0.386601297274902</v>
      </c>
      <c r="T18" s="22">
        <v>0.36843359065629699</v>
      </c>
      <c r="U18" s="22">
        <v>0.39323129371485122</v>
      </c>
      <c r="V18" s="22">
        <v>0.40260427788665581</v>
      </c>
      <c r="W18" s="22">
        <v>0.40994192957180903</v>
      </c>
      <c r="X18" s="22">
        <v>0.43448240310106745</v>
      </c>
      <c r="Y18" s="22">
        <v>0.43476879778789534</v>
      </c>
      <c r="Z18" s="22">
        <v>0.42582013117153905</v>
      </c>
      <c r="AA18" s="22">
        <v>0.40991048901821914</v>
      </c>
      <c r="AB18" s="22">
        <v>0.43176634668112202</v>
      </c>
      <c r="AC18" s="22">
        <v>0.40225960931069693</v>
      </c>
      <c r="AD18" s="22">
        <v>0.42572617937292057</v>
      </c>
      <c r="AE18" s="22">
        <v>0.42798379825409588</v>
      </c>
      <c r="AF18" s="22">
        <v>0.4229</v>
      </c>
      <c r="AG18" s="22">
        <v>0.3984136621608434</v>
      </c>
      <c r="AH18" s="22">
        <v>0.44097828027850366</v>
      </c>
    </row>
    <row r="19" spans="1:34" ht="15" customHeight="1" x14ac:dyDescent="0.25">
      <c r="A19" t="s">
        <v>33</v>
      </c>
      <c r="B19" s="46" t="s">
        <v>9</v>
      </c>
      <c r="C19" s="46" t="s">
        <v>34</v>
      </c>
      <c r="D19" s="35" t="s">
        <v>10</v>
      </c>
      <c r="E19" s="47" t="s">
        <v>14</v>
      </c>
      <c r="F19" s="22">
        <v>0.83097178683385586</v>
      </c>
      <c r="G19" s="22">
        <v>0.88477271023703186</v>
      </c>
      <c r="H19" s="22">
        <v>0.90613664595939791</v>
      </c>
      <c r="I19" s="22">
        <v>0.91133644207389453</v>
      </c>
      <c r="J19" s="22">
        <v>0.91673341419712251</v>
      </c>
      <c r="K19" s="22">
        <v>0.92407070008096892</v>
      </c>
      <c r="L19" s="22">
        <v>0.92900388857355232</v>
      </c>
      <c r="M19" s="22">
        <v>0.934109507766409</v>
      </c>
      <c r="N19" s="22">
        <v>0.9357141228519702</v>
      </c>
      <c r="O19" s="22">
        <v>0.94015562457024737</v>
      </c>
      <c r="P19" s="22">
        <v>0.96655671732390358</v>
      </c>
      <c r="Q19" s="22">
        <v>0.96819433483018913</v>
      </c>
      <c r="R19" s="22">
        <f>R20/R21</f>
        <v>0.97224148716152048</v>
      </c>
      <c r="S19" s="22">
        <f>S20/S21</f>
        <v>0.97737191574077831</v>
      </c>
      <c r="T19" s="22">
        <f>T20/T21</f>
        <v>0.97934422234572371</v>
      </c>
      <c r="U19" s="22">
        <f t="shared" ref="U19:W19" si="4">U20/U21</f>
        <v>0.98095261030871406</v>
      </c>
      <c r="V19" s="22">
        <f t="shared" si="4"/>
        <v>0.98426327066860686</v>
      </c>
      <c r="W19" s="22">
        <f t="shared" si="4"/>
        <v>0.98575984597722266</v>
      </c>
      <c r="X19" s="22">
        <v>0.98698725833827172</v>
      </c>
      <c r="Y19" s="22">
        <v>0.98778517486620365</v>
      </c>
      <c r="Z19" s="22">
        <v>0.98731594416729551</v>
      </c>
      <c r="AA19" s="22">
        <v>0.98629411801740008</v>
      </c>
      <c r="AB19" s="22">
        <v>0.99043202899486782</v>
      </c>
      <c r="AC19" s="22">
        <v>0.99043202899486782</v>
      </c>
      <c r="AD19" s="22">
        <v>0.99043202899486782</v>
      </c>
      <c r="AE19" s="22"/>
      <c r="AF19" s="22"/>
      <c r="AG19" s="22"/>
      <c r="AH19" s="22"/>
    </row>
    <row r="20" spans="1:34" ht="15" customHeight="1" x14ac:dyDescent="0.25">
      <c r="A20" t="s">
        <v>35</v>
      </c>
      <c r="B20" s="46" t="s">
        <v>9</v>
      </c>
      <c r="C20" s="46" t="s">
        <v>36</v>
      </c>
      <c r="D20" s="35" t="s">
        <v>13</v>
      </c>
      <c r="E20" s="47" t="s">
        <v>14</v>
      </c>
      <c r="F20" s="21">
        <v>13.254</v>
      </c>
      <c r="G20" s="21">
        <v>13255586</v>
      </c>
      <c r="H20" s="21">
        <v>13500635</v>
      </c>
      <c r="I20" s="21">
        <v>13404516</v>
      </c>
      <c r="J20" s="21">
        <v>13350925</v>
      </c>
      <c r="K20" s="21">
        <v>13424706</v>
      </c>
      <c r="L20" s="21">
        <v>13452085</v>
      </c>
      <c r="M20" s="21">
        <v>13450240</v>
      </c>
      <c r="N20" s="21">
        <v>13460723</v>
      </c>
      <c r="O20" s="21">
        <v>13351606</v>
      </c>
      <c r="P20" s="21">
        <v>13665204</v>
      </c>
      <c r="Q20" s="21">
        <v>13539856</v>
      </c>
      <c r="R20" s="21">
        <v>13439612</v>
      </c>
      <c r="S20" s="21">
        <v>13164971</v>
      </c>
      <c r="T20" s="21">
        <v>13077155</v>
      </c>
      <c r="U20" s="21">
        <v>13075341</v>
      </c>
      <c r="V20" s="21">
        <v>13112311</v>
      </c>
      <c r="W20" s="21">
        <v>13100219</v>
      </c>
      <c r="X20" s="21">
        <v>13089199</v>
      </c>
      <c r="Y20" s="21">
        <v>13010809</v>
      </c>
      <c r="Z20" s="21">
        <v>12923009</v>
      </c>
      <c r="AA20" s="21">
        <v>12846041</v>
      </c>
      <c r="AB20" s="21">
        <v>12758476</v>
      </c>
      <c r="AC20" s="21"/>
      <c r="AD20" s="21"/>
      <c r="AE20" s="21"/>
      <c r="AF20" s="21"/>
      <c r="AG20" s="21"/>
      <c r="AH20" s="21"/>
    </row>
    <row r="21" spans="1:34" ht="15" customHeight="1" x14ac:dyDescent="0.25">
      <c r="A21" t="s">
        <v>37</v>
      </c>
      <c r="B21" s="46" t="s">
        <v>9</v>
      </c>
      <c r="C21" s="46" t="s">
        <v>38</v>
      </c>
      <c r="D21" s="35" t="s">
        <v>13</v>
      </c>
      <c r="E21" s="47" t="s">
        <v>14</v>
      </c>
      <c r="F21" s="21">
        <v>15.95</v>
      </c>
      <c r="G21" s="21">
        <v>14981911</v>
      </c>
      <c r="H21" s="23">
        <v>14899116</v>
      </c>
      <c r="I21" s="23">
        <v>14708636</v>
      </c>
      <c r="J21" s="23">
        <v>14563585</v>
      </c>
      <c r="K21" s="23">
        <v>14527791</v>
      </c>
      <c r="L21" s="23">
        <v>14480117</v>
      </c>
      <c r="M21" s="23">
        <v>14398997</v>
      </c>
      <c r="N21" s="23">
        <v>14385508</v>
      </c>
      <c r="O21" s="23">
        <v>14201485</v>
      </c>
      <c r="P21" s="21">
        <v>14138026</v>
      </c>
      <c r="Q21" s="21">
        <v>13984647</v>
      </c>
      <c r="R21" s="21">
        <v>13823327</v>
      </c>
      <c r="S21" s="21">
        <v>13469766</v>
      </c>
      <c r="T21" s="21">
        <v>13352971</v>
      </c>
      <c r="U21" s="21">
        <v>13329228</v>
      </c>
      <c r="V21" s="21">
        <v>13321955</v>
      </c>
      <c r="W21" s="21">
        <v>13289463</v>
      </c>
      <c r="X21" s="21">
        <v>13261771</v>
      </c>
      <c r="Y21" s="21">
        <v>13171699</v>
      </c>
      <c r="Z21" s="21">
        <v>13089031</v>
      </c>
      <c r="AA21" s="21">
        <v>13024554</v>
      </c>
      <c r="AB21" s="21">
        <v>12881728</v>
      </c>
      <c r="AC21" s="21"/>
      <c r="AD21" s="21"/>
      <c r="AE21" s="21"/>
      <c r="AF21" s="21"/>
      <c r="AG21" s="21"/>
      <c r="AH21" s="21"/>
    </row>
    <row r="22" spans="1:34" ht="15" customHeight="1" x14ac:dyDescent="0.25">
      <c r="A22" t="s">
        <v>39</v>
      </c>
      <c r="B22" s="46" t="s">
        <v>9</v>
      </c>
      <c r="C22" s="46" t="s">
        <v>40</v>
      </c>
      <c r="D22" s="35" t="s">
        <v>10</v>
      </c>
      <c r="E22" s="35"/>
      <c r="F22" s="22"/>
      <c r="G22" s="24"/>
      <c r="H22" s="25">
        <f t="shared" ref="H22:Q22" si="5">H23/H24</f>
        <v>0.98333672364765579</v>
      </c>
      <c r="I22" s="25">
        <f t="shared" si="5"/>
        <v>0.98504807768971947</v>
      </c>
      <c r="J22" s="25">
        <f t="shared" si="5"/>
        <v>0.96072390439959421</v>
      </c>
      <c r="K22" s="25">
        <f t="shared" si="5"/>
        <v>0.98515744049642961</v>
      </c>
      <c r="L22" s="25">
        <f t="shared" si="5"/>
        <v>0.9602810417478792</v>
      </c>
      <c r="M22" s="25">
        <f t="shared" si="5"/>
        <v>0.97783277403963154</v>
      </c>
      <c r="N22" s="25">
        <f t="shared" si="5"/>
        <v>0.96916932531546385</v>
      </c>
      <c r="O22" s="25">
        <f t="shared" si="5"/>
        <v>0.98705708838447426</v>
      </c>
      <c r="P22" s="26">
        <f t="shared" si="5"/>
        <v>0.98994102382637417</v>
      </c>
      <c r="Q22" s="27">
        <f t="shared" si="5"/>
        <v>0.98948738711382522</v>
      </c>
      <c r="R22" s="27">
        <f>R23/R24</f>
        <v>0.99372645903365597</v>
      </c>
      <c r="S22" s="27">
        <f>S23/S24</f>
        <v>0.99254747696763657</v>
      </c>
      <c r="T22" s="27">
        <f>T23/T24</f>
        <v>0.9938577704086291</v>
      </c>
      <c r="U22" s="27">
        <f t="shared" ref="U22:W22" si="6">U23/U24</f>
        <v>0.99379279108577523</v>
      </c>
      <c r="V22" s="27">
        <f t="shared" si="6"/>
        <v>0.98421382729201923</v>
      </c>
      <c r="W22" s="27">
        <f t="shared" si="6"/>
        <v>0.99417927298578967</v>
      </c>
      <c r="X22" s="27">
        <v>0.99426031430626494</v>
      </c>
      <c r="Y22" s="27">
        <v>0.98375613921691663</v>
      </c>
      <c r="Z22" s="27">
        <v>0.99263701153668404</v>
      </c>
      <c r="AA22" s="27"/>
      <c r="AB22" s="27"/>
      <c r="AC22" s="27"/>
      <c r="AD22" s="27"/>
      <c r="AE22" s="27"/>
      <c r="AF22" s="27"/>
      <c r="AG22" s="27"/>
      <c r="AH22" s="27"/>
    </row>
    <row r="23" spans="1:34" ht="15" customHeight="1" x14ac:dyDescent="0.25">
      <c r="A23" t="s">
        <v>41</v>
      </c>
      <c r="B23" s="46" t="s">
        <v>9</v>
      </c>
      <c r="C23" s="46" t="s">
        <v>42</v>
      </c>
      <c r="D23" s="35" t="s">
        <v>13</v>
      </c>
      <c r="E23" s="47" t="s">
        <v>43</v>
      </c>
      <c r="F23" s="21"/>
      <c r="G23" s="28"/>
      <c r="H23" s="29">
        <v>1382538</v>
      </c>
      <c r="I23" s="29">
        <v>1235467</v>
      </c>
      <c r="J23" s="29">
        <v>1184660</v>
      </c>
      <c r="K23" s="29">
        <v>3868001</v>
      </c>
      <c r="L23" s="29">
        <v>1034626</v>
      </c>
      <c r="M23" s="29">
        <v>1141080</v>
      </c>
      <c r="N23" s="30">
        <v>1071124</v>
      </c>
      <c r="O23" s="30">
        <v>1234764</v>
      </c>
      <c r="P23" s="31">
        <v>1258908</v>
      </c>
      <c r="Q23" s="30">
        <v>703858</v>
      </c>
      <c r="R23" s="30">
        <v>981444</v>
      </c>
      <c r="S23" s="30">
        <v>966374</v>
      </c>
      <c r="T23" s="30">
        <v>1099319</v>
      </c>
      <c r="U23" s="30">
        <v>980791</v>
      </c>
      <c r="V23" s="30">
        <v>1145556</v>
      </c>
      <c r="W23" s="30">
        <v>1103367</v>
      </c>
      <c r="X23" s="42">
        <v>960709</v>
      </c>
      <c r="Y23" s="21">
        <v>1042570</v>
      </c>
      <c r="Z23" s="21">
        <v>693755</v>
      </c>
      <c r="AA23" s="21"/>
      <c r="AB23" s="21"/>
      <c r="AC23" s="21"/>
      <c r="AD23" s="21"/>
      <c r="AE23" s="21"/>
      <c r="AF23" s="21"/>
      <c r="AG23" s="21"/>
      <c r="AH23" s="21"/>
    </row>
    <row r="24" spans="1:34" ht="15" customHeight="1" x14ac:dyDescent="0.25">
      <c r="A24" t="s">
        <v>44</v>
      </c>
      <c r="B24" s="46" t="s">
        <v>9</v>
      </c>
      <c r="C24" s="46" t="s">
        <v>45</v>
      </c>
      <c r="D24" s="35" t="s">
        <v>13</v>
      </c>
      <c r="E24" s="47" t="s">
        <v>43</v>
      </c>
      <c r="F24" s="21"/>
      <c r="G24" s="28"/>
      <c r="H24" s="29">
        <v>1405966</v>
      </c>
      <c r="I24" s="29">
        <v>1254220</v>
      </c>
      <c r="J24" s="29">
        <v>1233091</v>
      </c>
      <c r="K24" s="29">
        <v>3926277</v>
      </c>
      <c r="L24" s="29">
        <v>1077420</v>
      </c>
      <c r="M24" s="29">
        <v>1166948</v>
      </c>
      <c r="N24" s="30">
        <v>1105198</v>
      </c>
      <c r="O24" s="30">
        <v>1250955</v>
      </c>
      <c r="P24" s="31">
        <v>1271700</v>
      </c>
      <c r="Q24" s="30">
        <v>711336</v>
      </c>
      <c r="R24" s="30">
        <v>987640</v>
      </c>
      <c r="S24" s="30">
        <v>973630</v>
      </c>
      <c r="T24" s="30">
        <v>1106113</v>
      </c>
      <c r="U24" s="30">
        <v>986917</v>
      </c>
      <c r="V24" s="30">
        <v>1163930</v>
      </c>
      <c r="W24" s="30">
        <v>1109827</v>
      </c>
      <c r="X24" s="42">
        <v>966255</v>
      </c>
      <c r="Y24" s="21">
        <v>1059785</v>
      </c>
      <c r="Z24" s="21">
        <v>698901</v>
      </c>
      <c r="AA24" s="21"/>
      <c r="AB24" s="21"/>
      <c r="AC24" s="21"/>
      <c r="AD24" s="21"/>
      <c r="AE24" s="21"/>
      <c r="AF24" s="21"/>
      <c r="AG24" s="21"/>
      <c r="AH24" s="21"/>
    </row>
    <row r="25" spans="1:34" ht="15" customHeight="1" x14ac:dyDescent="0.25">
      <c r="A25" t="s">
        <v>46</v>
      </c>
      <c r="B25" s="46" t="s">
        <v>9</v>
      </c>
      <c r="C25" s="46" t="s">
        <v>47</v>
      </c>
      <c r="D25" s="35" t="s">
        <v>10</v>
      </c>
      <c r="E25" s="35"/>
      <c r="F25" s="22">
        <v>9.5866294409514649E-2</v>
      </c>
      <c r="G25" s="22">
        <v>7.6357535919638814E-2</v>
      </c>
      <c r="H25" s="32">
        <v>7.6235830247792652E-2</v>
      </c>
      <c r="I25" s="32">
        <v>7.2228311310500393E-2</v>
      </c>
      <c r="J25" s="32">
        <v>6.9588244010755126E-2</v>
      </c>
      <c r="K25" s="32">
        <v>6.7834485029082708E-2</v>
      </c>
      <c r="L25" s="32">
        <v>6.3308799038216748E-2</v>
      </c>
      <c r="M25" s="32">
        <v>6.1011806829779761E-2</v>
      </c>
      <c r="N25" s="32">
        <v>5.8907215282162709E-2</v>
      </c>
      <c r="O25" s="32">
        <v>5.9016578025340605E-2</v>
      </c>
      <c r="P25" s="32">
        <v>5.8968091402521801E-2</v>
      </c>
      <c r="Q25" s="32">
        <v>5.548038334534991E-2</v>
      </c>
      <c r="R25" s="32">
        <f>R26/R27</f>
        <v>4.8074817428782793E-2</v>
      </c>
      <c r="S25" s="32">
        <f>S26/S27</f>
        <v>4.5930759509982384E-2</v>
      </c>
      <c r="T25" s="32">
        <f>T26/T27</f>
        <v>4.4769373319171052E-2</v>
      </c>
      <c r="U25" s="32">
        <f t="shared" ref="U25:W25" si="7">U26/U27</f>
        <v>4.3532821224556338E-2</v>
      </c>
      <c r="V25" s="32">
        <f t="shared" si="7"/>
        <v>4.2844586649807073E-2</v>
      </c>
      <c r="W25" s="32">
        <f t="shared" si="7"/>
        <v>4.0788100403114695E-2</v>
      </c>
      <c r="X25" s="32">
        <v>3.9415875762279159E-2</v>
      </c>
      <c r="Y25" s="27">
        <v>3.8371127003219527E-2</v>
      </c>
      <c r="Z25" s="27">
        <v>3.9575299739485162E-2</v>
      </c>
      <c r="AA25" s="27">
        <v>4.0581899789762121E-2</v>
      </c>
      <c r="AB25" s="27">
        <v>4.0143882324663094E-2</v>
      </c>
      <c r="AC25" s="27">
        <v>3.8964510252384114E-2</v>
      </c>
      <c r="AD25" s="27">
        <v>3.5981737264696514E-2</v>
      </c>
      <c r="AE25" s="27">
        <v>3.6412986042735032E-2</v>
      </c>
      <c r="AF25" s="27">
        <v>3.8896722423548129E-2</v>
      </c>
      <c r="AG25" s="27">
        <v>3.6797579356828591E-2</v>
      </c>
      <c r="AH25" s="27">
        <v>3.5829417749763393E-2</v>
      </c>
    </row>
    <row r="26" spans="1:34" ht="15" customHeight="1" x14ac:dyDescent="0.25">
      <c r="A26" t="s">
        <v>48</v>
      </c>
      <c r="B26" s="46" t="s">
        <v>9</v>
      </c>
      <c r="C26" s="46" t="s">
        <v>180</v>
      </c>
      <c r="D26" s="35" t="s">
        <v>13</v>
      </c>
      <c r="E26" s="47" t="s">
        <v>14</v>
      </c>
      <c r="F26" s="21">
        <v>82443</v>
      </c>
      <c r="G26" s="21">
        <v>66771</v>
      </c>
      <c r="H26" s="21">
        <v>66916</v>
      </c>
      <c r="I26" s="21">
        <v>63659</v>
      </c>
      <c r="J26" s="21">
        <v>61519</v>
      </c>
      <c r="K26" s="21">
        <v>60166</v>
      </c>
      <c r="L26" s="21">
        <v>56451</v>
      </c>
      <c r="M26" s="21">
        <v>54698</v>
      </c>
      <c r="N26" s="21">
        <v>53083</v>
      </c>
      <c r="O26" s="21">
        <v>53463</v>
      </c>
      <c r="P26" s="21">
        <v>53604</v>
      </c>
      <c r="Q26" s="21">
        <v>50556</v>
      </c>
      <c r="R26" s="21">
        <v>44126</v>
      </c>
      <c r="S26" s="21">
        <v>42416</v>
      </c>
      <c r="T26" s="21">
        <v>41601</v>
      </c>
      <c r="U26" s="21">
        <v>40588</v>
      </c>
      <c r="V26" s="21">
        <v>40118</v>
      </c>
      <c r="W26" s="21">
        <v>38338</v>
      </c>
      <c r="X26" s="21">
        <v>37178</v>
      </c>
      <c r="Y26" s="21">
        <v>36303</v>
      </c>
      <c r="Z26" s="21">
        <v>37583</v>
      </c>
      <c r="AA26" s="21">
        <v>38625</v>
      </c>
      <c r="AB26" s="21">
        <v>38246</v>
      </c>
      <c r="AC26" s="21">
        <v>37173</v>
      </c>
      <c r="AD26" s="21">
        <v>34345</v>
      </c>
      <c r="AE26" s="21">
        <v>34800</v>
      </c>
      <c r="AF26" s="21">
        <v>37213</v>
      </c>
      <c r="AG26" s="21">
        <v>35219</v>
      </c>
      <c r="AH26" s="21">
        <v>34299</v>
      </c>
    </row>
    <row r="27" spans="1:34" ht="15" customHeight="1" x14ac:dyDescent="0.25">
      <c r="A27" t="s">
        <v>49</v>
      </c>
      <c r="B27" s="46" t="s">
        <v>9</v>
      </c>
      <c r="C27" s="46" t="s">
        <v>50</v>
      </c>
      <c r="D27" s="35" t="s">
        <v>13</v>
      </c>
      <c r="E27" s="47" t="s">
        <v>14</v>
      </c>
      <c r="F27" s="21">
        <v>859979</v>
      </c>
      <c r="G27" s="21">
        <v>874452</v>
      </c>
      <c r="H27" s="21">
        <v>877750</v>
      </c>
      <c r="I27" s="21">
        <v>881358</v>
      </c>
      <c r="J27" s="21">
        <v>884043</v>
      </c>
      <c r="K27" s="21">
        <v>886953</v>
      </c>
      <c r="L27" s="21">
        <v>891677</v>
      </c>
      <c r="M27" s="21">
        <v>896515</v>
      </c>
      <c r="N27" s="21">
        <v>901129</v>
      </c>
      <c r="O27" s="21">
        <v>905898</v>
      </c>
      <c r="P27" s="21">
        <v>909034</v>
      </c>
      <c r="Q27" s="21">
        <v>911241</v>
      </c>
      <c r="R27" s="21">
        <v>917861</v>
      </c>
      <c r="S27" s="21">
        <v>923477</v>
      </c>
      <c r="T27" s="21">
        <v>929229</v>
      </c>
      <c r="U27" s="21">
        <v>932354</v>
      </c>
      <c r="V27" s="21">
        <v>936361</v>
      </c>
      <c r="W27" s="21">
        <v>939931</v>
      </c>
      <c r="X27" s="21">
        <v>943224</v>
      </c>
      <c r="Y27" s="21">
        <v>946102</v>
      </c>
      <c r="Z27" s="21">
        <v>949658</v>
      </c>
      <c r="AA27" s="21">
        <v>951779</v>
      </c>
      <c r="AB27" s="21">
        <v>952723</v>
      </c>
      <c r="AC27" s="21">
        <v>954022</v>
      </c>
      <c r="AD27" s="21">
        <v>954512</v>
      </c>
      <c r="AE27" s="21">
        <v>955703</v>
      </c>
      <c r="AF27" s="21">
        <v>956713</v>
      </c>
      <c r="AG27" s="21">
        <v>957101</v>
      </c>
      <c r="AH27" s="21">
        <v>957286</v>
      </c>
    </row>
    <row r="28" spans="1:34" ht="15" customHeight="1" x14ac:dyDescent="0.25">
      <c r="A28" t="s">
        <v>51</v>
      </c>
      <c r="B28" s="46" t="s">
        <v>9</v>
      </c>
      <c r="C28" s="46" t="s">
        <v>52</v>
      </c>
      <c r="D28" s="35" t="s">
        <v>10</v>
      </c>
      <c r="E28" s="35"/>
      <c r="F28" s="22">
        <v>0.21773367192372806</v>
      </c>
      <c r="G28" s="22">
        <v>0.23747237436340923</v>
      </c>
      <c r="H28" s="22">
        <v>0.24012867227291229</v>
      </c>
      <c r="I28" s="22">
        <v>0.44283310387027691</v>
      </c>
      <c r="J28" s="22">
        <v>0.55059744450743531</v>
      </c>
      <c r="K28" s="22">
        <v>0.58028916740400793</v>
      </c>
      <c r="L28" s="22">
        <v>0.75232878474418208</v>
      </c>
      <c r="M28" s="22">
        <v>0.80368948264737305</v>
      </c>
      <c r="N28" s="22">
        <v>0.78595944187715916</v>
      </c>
      <c r="O28" s="22">
        <v>0.87889423719748627</v>
      </c>
      <c r="P28" s="22">
        <v>0.96110093982668132</v>
      </c>
      <c r="Q28" s="22">
        <v>0.97086501543326054</v>
      </c>
      <c r="R28" s="22">
        <f>R29/R30</f>
        <v>0.97948358579052341</v>
      </c>
      <c r="S28" s="22">
        <f>S29/S30</f>
        <v>0.83839540909950283</v>
      </c>
      <c r="T28" s="22">
        <f>T29/T30</f>
        <v>0.95458213032362171</v>
      </c>
      <c r="U28" s="22">
        <f t="shared" ref="U28:W28" si="8">U29/U30</f>
        <v>0.9637603567827181</v>
      </c>
      <c r="V28" s="22">
        <f t="shared" si="8"/>
        <v>0.96694541985507543</v>
      </c>
      <c r="W28" s="22">
        <f t="shared" si="8"/>
        <v>0.96176543848556262</v>
      </c>
      <c r="X28" s="22">
        <v>0.97875806688949152</v>
      </c>
      <c r="Y28" s="22">
        <v>0.94505984986812741</v>
      </c>
      <c r="Z28" s="22">
        <v>0.96831118355065193</v>
      </c>
      <c r="AA28" s="22">
        <v>0.98361728534356307</v>
      </c>
      <c r="AB28" s="22">
        <v>0.97145662263477328</v>
      </c>
      <c r="AC28" s="22">
        <v>0.9275180927195098</v>
      </c>
      <c r="AD28" s="22">
        <v>0.97382065542531737</v>
      </c>
      <c r="AE28" s="22">
        <v>0.96004462876028884</v>
      </c>
      <c r="AF28" s="22">
        <v>0.96826134652213525</v>
      </c>
      <c r="AG28" s="22">
        <v>0.96008497194836318</v>
      </c>
      <c r="AH28" s="22">
        <v>0.9670180896416638</v>
      </c>
    </row>
    <row r="29" spans="1:34" ht="15" customHeight="1" x14ac:dyDescent="0.25">
      <c r="A29" t="s">
        <v>53</v>
      </c>
      <c r="B29" s="46" t="s">
        <v>9</v>
      </c>
      <c r="C29" s="46" t="s">
        <v>54</v>
      </c>
      <c r="D29" s="35" t="s">
        <v>13</v>
      </c>
      <c r="E29" s="47" t="s">
        <v>14</v>
      </c>
      <c r="F29" s="21">
        <v>19549</v>
      </c>
      <c r="G29" s="21">
        <v>19771</v>
      </c>
      <c r="H29" s="21">
        <v>24186</v>
      </c>
      <c r="I29" s="21">
        <v>43422</v>
      </c>
      <c r="J29" s="21">
        <v>50503</v>
      </c>
      <c r="K29" s="21">
        <v>59681</v>
      </c>
      <c r="L29" s="21">
        <v>70184</v>
      </c>
      <c r="M29" s="21">
        <v>75980</v>
      </c>
      <c r="N29" s="21">
        <v>70073</v>
      </c>
      <c r="O29" s="21">
        <v>78879</v>
      </c>
      <c r="P29" s="21">
        <v>78743</v>
      </c>
      <c r="Q29" s="21">
        <v>64480</v>
      </c>
      <c r="R29" s="21">
        <v>90852</v>
      </c>
      <c r="S29" s="21">
        <v>75386</v>
      </c>
      <c r="T29" s="21">
        <v>98195</v>
      </c>
      <c r="U29" s="21">
        <v>92707</v>
      </c>
      <c r="V29" s="21">
        <v>95277</v>
      </c>
      <c r="W29" s="21">
        <v>100391</v>
      </c>
      <c r="X29" s="21">
        <v>93121</v>
      </c>
      <c r="Y29" s="21">
        <v>93164</v>
      </c>
      <c r="Z29" s="21">
        <v>92679</v>
      </c>
      <c r="AA29" s="21">
        <v>87178</v>
      </c>
      <c r="AB29" s="21">
        <v>54421</v>
      </c>
      <c r="AC29" s="21">
        <v>91892</v>
      </c>
      <c r="AD29" s="21">
        <v>87899</v>
      </c>
      <c r="AE29" s="21">
        <v>91210</v>
      </c>
      <c r="AF29" s="21">
        <v>104152</v>
      </c>
      <c r="AG29" s="21">
        <v>88131</v>
      </c>
      <c r="AH29" s="21">
        <v>100713</v>
      </c>
    </row>
    <row r="30" spans="1:34" x14ac:dyDescent="0.25">
      <c r="A30" t="s">
        <v>181</v>
      </c>
      <c r="B30" s="46" t="s">
        <v>9</v>
      </c>
      <c r="C30" s="46" t="s">
        <v>182</v>
      </c>
      <c r="D30" s="35" t="s">
        <v>13</v>
      </c>
      <c r="E30" s="47" t="s">
        <v>14</v>
      </c>
      <c r="F30" s="21">
        <v>89784</v>
      </c>
      <c r="G30" s="21">
        <v>83256</v>
      </c>
      <c r="H30" s="21">
        <v>100721</v>
      </c>
      <c r="I30" s="21">
        <v>98055</v>
      </c>
      <c r="J30" s="21">
        <v>91724</v>
      </c>
      <c r="K30" s="21">
        <v>102847</v>
      </c>
      <c r="L30" s="21">
        <v>93289</v>
      </c>
      <c r="M30" s="21">
        <v>94539</v>
      </c>
      <c r="N30" s="21">
        <v>89156</v>
      </c>
      <c r="O30" s="21">
        <v>89748</v>
      </c>
      <c r="P30" s="21">
        <v>81930</v>
      </c>
      <c r="Q30" s="21">
        <v>66415</v>
      </c>
      <c r="R30" s="21">
        <v>92755</v>
      </c>
      <c r="S30" s="21">
        <v>89917</v>
      </c>
      <c r="T30" s="21">
        <v>102867</v>
      </c>
      <c r="U30" s="21">
        <v>96193</v>
      </c>
      <c r="V30" s="21">
        <v>98534</v>
      </c>
      <c r="W30" s="21">
        <v>104382</v>
      </c>
      <c r="X30" s="21">
        <v>95142</v>
      </c>
      <c r="Y30" s="21">
        <v>98580</v>
      </c>
      <c r="Z30" s="21">
        <v>95712</v>
      </c>
      <c r="AA30" s="21">
        <v>88630</v>
      </c>
      <c r="AB30" s="21">
        <v>56020</v>
      </c>
      <c r="AC30" s="21">
        <v>99073</v>
      </c>
      <c r="AD30" s="21">
        <v>90262</v>
      </c>
      <c r="AE30" s="21">
        <v>95006</v>
      </c>
      <c r="AF30" s="21">
        <v>107566</v>
      </c>
      <c r="AG30" s="21">
        <v>91795</v>
      </c>
      <c r="AH30" s="21">
        <v>104148</v>
      </c>
    </row>
    <row r="31" spans="1:34" x14ac:dyDescent="0.25">
      <c r="A31" t="s">
        <v>183</v>
      </c>
      <c r="B31" s="46" t="s">
        <v>9</v>
      </c>
      <c r="C31" s="46" t="s">
        <v>184</v>
      </c>
      <c r="D31" s="35" t="s">
        <v>10</v>
      </c>
      <c r="E31" s="35"/>
      <c r="F31" s="22">
        <v>0.12597616382432344</v>
      </c>
      <c r="G31" s="22">
        <v>6.8438996082982734E-2</v>
      </c>
      <c r="H31" s="22">
        <v>4.4172343181913161E-2</v>
      </c>
      <c r="I31" s="22">
        <v>1.3515019784874325E-2</v>
      </c>
      <c r="J31" s="22">
        <v>1.9068167240072306E-2</v>
      </c>
      <c r="K31" s="22">
        <v>1.4899250839576337E-2</v>
      </c>
      <c r="L31" s="22">
        <v>9.9954024554293596E-3</v>
      </c>
      <c r="M31" s="22">
        <v>8.8360262175139082E-3</v>
      </c>
      <c r="N31" s="22">
        <v>0</v>
      </c>
      <c r="O31" s="22">
        <v>2.9830517225800622E-2</v>
      </c>
      <c r="P31" s="22">
        <v>1.6429615844742788E-2</v>
      </c>
      <c r="Q31" s="22">
        <f>Q32/Q33</f>
        <v>7.6234296411574979E-3</v>
      </c>
      <c r="R31" s="22">
        <f>R32/R33</f>
        <v>2.2019664072101598E-3</v>
      </c>
      <c r="S31" s="22">
        <f>S32/S33</f>
        <v>2.6622383029535836E-3</v>
      </c>
      <c r="T31" s="22">
        <f>T32/T33</f>
        <v>6.4293117947313873E-4</v>
      </c>
      <c r="U31" s="22">
        <f t="shared" ref="U31:W31" si="9">U32/U33</f>
        <v>2.4254435244803953E-4</v>
      </c>
      <c r="V31" s="22">
        <f t="shared" si="9"/>
        <v>5.0142194282293067E-4</v>
      </c>
      <c r="W31" s="22">
        <f t="shared" si="9"/>
        <v>4.1266382753953323E-5</v>
      </c>
      <c r="X31" s="22">
        <v>1.2390408331131424E-4</v>
      </c>
      <c r="Y31" s="22">
        <v>0</v>
      </c>
      <c r="Z31" s="22">
        <v>0</v>
      </c>
      <c r="AA31" s="22">
        <v>1.6122121049812532E-2</v>
      </c>
      <c r="AB31" s="22">
        <v>0</v>
      </c>
      <c r="AC31" s="22">
        <v>0</v>
      </c>
      <c r="AD31" s="22">
        <v>0</v>
      </c>
      <c r="AE31" s="22">
        <v>1.4029786315562271E-3</v>
      </c>
      <c r="AF31" s="22">
        <v>7.0197996576978876E-3</v>
      </c>
      <c r="AG31" s="22">
        <v>1.1661291155870132E-3</v>
      </c>
      <c r="AH31" s="22">
        <v>0</v>
      </c>
    </row>
    <row r="32" spans="1:34" x14ac:dyDescent="0.25">
      <c r="A32" t="s">
        <v>185</v>
      </c>
      <c r="B32" s="46" t="s">
        <v>9</v>
      </c>
      <c r="C32" s="46" t="s">
        <v>186</v>
      </c>
      <c r="D32" s="35" t="s">
        <v>13</v>
      </c>
      <c r="E32" s="47" t="s">
        <v>14</v>
      </c>
      <c r="F32" s="21">
        <v>9566</v>
      </c>
      <c r="G32" s="21">
        <v>5661</v>
      </c>
      <c r="H32" s="21">
        <v>4228</v>
      </c>
      <c r="I32" s="21">
        <v>1455</v>
      </c>
      <c r="J32" s="21">
        <v>2289</v>
      </c>
      <c r="K32" s="21">
        <v>2307</v>
      </c>
      <c r="L32" s="21">
        <v>1761</v>
      </c>
      <c r="M32" s="21">
        <v>1855</v>
      </c>
      <c r="N32" s="21">
        <v>0</v>
      </c>
      <c r="O32" s="21">
        <v>2311</v>
      </c>
      <c r="P32" s="21">
        <v>2472</v>
      </c>
      <c r="Q32" s="21">
        <v>1352</v>
      </c>
      <c r="R32" s="21">
        <v>516</v>
      </c>
      <c r="S32" s="21">
        <v>816</v>
      </c>
      <c r="T32" s="21">
        <v>263</v>
      </c>
      <c r="U32" s="21">
        <v>117</v>
      </c>
      <c r="V32" s="21">
        <v>268</v>
      </c>
      <c r="W32" s="21">
        <v>25</v>
      </c>
      <c r="X32" s="21">
        <v>83</v>
      </c>
      <c r="Y32" s="21">
        <v>0</v>
      </c>
      <c r="Z32" s="21">
        <v>0</v>
      </c>
      <c r="AA32" s="21">
        <v>301</v>
      </c>
      <c r="AB32" s="21">
        <v>0</v>
      </c>
      <c r="AC32" s="21">
        <v>0</v>
      </c>
      <c r="AD32" s="21">
        <v>0</v>
      </c>
      <c r="AE32" s="21">
        <v>130</v>
      </c>
      <c r="AF32" s="21">
        <v>808</v>
      </c>
      <c r="AG32" s="21">
        <v>158</v>
      </c>
      <c r="AH32" s="21">
        <v>0</v>
      </c>
    </row>
    <row r="33" spans="1:34" x14ac:dyDescent="0.25">
      <c r="A33" t="s">
        <v>187</v>
      </c>
      <c r="B33" s="46" t="s">
        <v>9</v>
      </c>
      <c r="C33" s="46" t="s">
        <v>188</v>
      </c>
      <c r="D33" s="35" t="s">
        <v>13</v>
      </c>
      <c r="E33" s="47" t="s">
        <v>14</v>
      </c>
      <c r="F33" s="21">
        <v>75935</v>
      </c>
      <c r="G33" s="21">
        <v>82716</v>
      </c>
      <c r="H33" s="21">
        <v>95716</v>
      </c>
      <c r="I33" s="21">
        <v>107658</v>
      </c>
      <c r="J33" s="21">
        <v>120043</v>
      </c>
      <c r="K33" s="21">
        <v>154840</v>
      </c>
      <c r="L33" s="21">
        <v>176181</v>
      </c>
      <c r="M33" s="21">
        <v>209936</v>
      </c>
      <c r="N33" s="21">
        <v>209936</v>
      </c>
      <c r="O33" s="21">
        <v>77471</v>
      </c>
      <c r="P33" s="21">
        <v>150460</v>
      </c>
      <c r="Q33" s="21">
        <v>177348</v>
      </c>
      <c r="R33" s="21">
        <v>234336</v>
      </c>
      <c r="S33" s="21">
        <v>306509</v>
      </c>
      <c r="T33" s="21">
        <v>409064</v>
      </c>
      <c r="U33" s="21">
        <v>482386</v>
      </c>
      <c r="V33" s="21">
        <v>534480</v>
      </c>
      <c r="W33" s="21">
        <v>605820</v>
      </c>
      <c r="X33" s="21">
        <v>669873</v>
      </c>
      <c r="Y33" s="21">
        <v>772403</v>
      </c>
      <c r="Z33" s="21">
        <v>106006</v>
      </c>
      <c r="AA33" s="21">
        <v>18670</v>
      </c>
      <c r="AB33" s="21">
        <v>37183</v>
      </c>
      <c r="AC33" s="21">
        <v>50128</v>
      </c>
      <c r="AD33" s="21">
        <v>76281</v>
      </c>
      <c r="AE33" s="21">
        <v>92660</v>
      </c>
      <c r="AF33" s="21">
        <v>115103</v>
      </c>
      <c r="AG33" s="21">
        <v>135491</v>
      </c>
      <c r="AH33" s="21">
        <v>152850</v>
      </c>
    </row>
    <row r="34" spans="1:34" x14ac:dyDescent="0.25">
      <c r="A34" t="s">
        <v>189</v>
      </c>
      <c r="B34" s="46" t="s">
        <v>9</v>
      </c>
      <c r="C34" s="46" t="s">
        <v>190</v>
      </c>
      <c r="D34" s="35" t="s">
        <v>10</v>
      </c>
      <c r="E34" s="35"/>
      <c r="F34" s="21"/>
      <c r="G34" s="21"/>
      <c r="H34" s="21"/>
      <c r="I34" s="21"/>
      <c r="J34" s="21"/>
      <c r="K34" s="21"/>
      <c r="L34" s="21"/>
      <c r="M34" s="21"/>
      <c r="N34" s="33">
        <f>N35/N36</f>
        <v>8.5959096002988414E-2</v>
      </c>
      <c r="O34" s="33">
        <f t="shared" ref="O34:Q34" si="10">O35/O36</f>
        <v>8.3806588770414803E-2</v>
      </c>
      <c r="P34" s="33">
        <f t="shared" si="10"/>
        <v>0.13360461134134469</v>
      </c>
      <c r="Q34" s="33">
        <f t="shared" si="10"/>
        <v>5.7919455819419319E-2</v>
      </c>
      <c r="R34" s="33">
        <f>R35/R36</f>
        <v>0.04</v>
      </c>
      <c r="S34" s="33">
        <f>S35/S36</f>
        <v>2.9309630426565089E-2</v>
      </c>
      <c r="T34" s="33">
        <f>T35/T36</f>
        <v>2.7305488819072261E-2</v>
      </c>
      <c r="U34" s="33">
        <f t="shared" ref="U34:W34" si="11">U35/U36</f>
        <v>3.3333333333333333E-2</v>
      </c>
      <c r="V34" s="33">
        <f t="shared" si="11"/>
        <v>0</v>
      </c>
      <c r="W34" s="33">
        <f t="shared" si="11"/>
        <v>0</v>
      </c>
      <c r="X34" s="33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x14ac:dyDescent="0.25">
      <c r="A35" t="s">
        <v>191</v>
      </c>
      <c r="B35" s="46" t="s">
        <v>9</v>
      </c>
      <c r="C35" s="46" t="s">
        <v>192</v>
      </c>
      <c r="D35" s="35" t="s">
        <v>13</v>
      </c>
      <c r="E35" s="48" t="s">
        <v>193</v>
      </c>
      <c r="F35" s="34"/>
      <c r="G35" s="35"/>
      <c r="H35" s="35"/>
      <c r="I35" s="35"/>
      <c r="J35" s="35"/>
      <c r="K35" s="35"/>
      <c r="L35" s="35"/>
      <c r="M35" s="36"/>
      <c r="N35" s="21">
        <v>25772600</v>
      </c>
      <c r="O35" s="21">
        <v>66108900</v>
      </c>
      <c r="P35" s="21">
        <v>17360650</v>
      </c>
      <c r="Q35" s="21">
        <v>7220500</v>
      </c>
      <c r="R35" s="21">
        <v>2321200</v>
      </c>
      <c r="S35" s="21">
        <v>8063900</v>
      </c>
      <c r="T35" s="21">
        <v>2364000</v>
      </c>
      <c r="U35" s="21">
        <v>4157150</v>
      </c>
      <c r="V35" s="43">
        <v>0</v>
      </c>
      <c r="W35" s="43">
        <v>0</v>
      </c>
      <c r="X35" s="43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 spans="1:34" x14ac:dyDescent="0.25">
      <c r="A36" t="s">
        <v>194</v>
      </c>
      <c r="B36" s="46" t="s">
        <v>9</v>
      </c>
      <c r="C36" s="46" t="s">
        <v>195</v>
      </c>
      <c r="D36" s="35" t="s">
        <v>13</v>
      </c>
      <c r="E36" s="48" t="s">
        <v>193</v>
      </c>
      <c r="F36" s="34"/>
      <c r="G36" s="35"/>
      <c r="H36" s="35"/>
      <c r="I36" s="35"/>
      <c r="J36" s="35"/>
      <c r="K36" s="35"/>
      <c r="L36" s="35"/>
      <c r="M36" s="36"/>
      <c r="N36" s="21">
        <v>299824000</v>
      </c>
      <c r="O36" s="21">
        <v>788827000</v>
      </c>
      <c r="P36" s="21">
        <v>129940500</v>
      </c>
      <c r="Q36" s="21">
        <v>124664500</v>
      </c>
      <c r="R36" s="21">
        <v>58030000</v>
      </c>
      <c r="S36" s="21">
        <v>275128000</v>
      </c>
      <c r="T36" s="21">
        <v>86576000</v>
      </c>
      <c r="U36" s="21">
        <v>124714500</v>
      </c>
      <c r="V36" s="21">
        <v>47538000</v>
      </c>
      <c r="W36" s="21">
        <v>27067000</v>
      </c>
      <c r="X36" s="44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 spans="1:34" x14ac:dyDescent="0.25">
      <c r="A37" t="s">
        <v>196</v>
      </c>
      <c r="B37" s="46" t="s">
        <v>9</v>
      </c>
      <c r="C37" s="46" t="s">
        <v>197</v>
      </c>
      <c r="D37" s="35" t="s">
        <v>13</v>
      </c>
      <c r="E37" s="48" t="s">
        <v>193</v>
      </c>
      <c r="F37" s="34"/>
      <c r="G37" s="35"/>
      <c r="H37" s="35"/>
      <c r="I37" s="35"/>
      <c r="J37" s="35"/>
      <c r="K37" s="35"/>
      <c r="L37" s="35"/>
      <c r="M37" s="36"/>
      <c r="N37" s="21">
        <v>24</v>
      </c>
      <c r="O37" s="21">
        <v>60</v>
      </c>
      <c r="P37" s="21">
        <v>17</v>
      </c>
      <c r="Q37" s="21">
        <v>13</v>
      </c>
      <c r="R37" s="21">
        <v>5</v>
      </c>
      <c r="S37" s="21">
        <v>13</v>
      </c>
      <c r="T37" s="21">
        <v>8</v>
      </c>
      <c r="U37" s="21">
        <v>9</v>
      </c>
      <c r="V37" s="21">
        <v>6</v>
      </c>
      <c r="W37" s="21">
        <v>2</v>
      </c>
      <c r="X37" s="45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 spans="1:34" x14ac:dyDescent="0.25">
      <c r="A38" t="s">
        <v>198</v>
      </c>
      <c r="B38" s="46" t="s">
        <v>9</v>
      </c>
      <c r="C38" s="46" t="s">
        <v>199</v>
      </c>
      <c r="D38" s="35" t="s">
        <v>10</v>
      </c>
      <c r="E38" s="35"/>
      <c r="F38" s="35"/>
      <c r="G38" s="35"/>
      <c r="H38" s="35"/>
      <c r="I38" s="35"/>
      <c r="J38" s="35"/>
      <c r="K38" s="35"/>
      <c r="L38" s="35"/>
      <c r="M38" s="35"/>
      <c r="N38" s="37">
        <f>N39/N40</f>
        <v>0.30205320541459935</v>
      </c>
      <c r="O38" s="37">
        <f t="shared" ref="O38:Q38" si="12">O39/O40</f>
        <v>0.16678314329701199</v>
      </c>
      <c r="P38" s="37">
        <f t="shared" si="12"/>
        <v>0.16345199611718877</v>
      </c>
      <c r="Q38" s="37">
        <f t="shared" si="12"/>
        <v>0.11897059274477936</v>
      </c>
      <c r="R38" s="37"/>
      <c r="S38" s="37"/>
      <c r="T38" s="37"/>
      <c r="U38" s="37"/>
      <c r="V38" s="37"/>
      <c r="W38" s="37"/>
      <c r="X38" s="37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34" x14ac:dyDescent="0.25">
      <c r="A39" t="s">
        <v>200</v>
      </c>
      <c r="B39" s="46" t="s">
        <v>9</v>
      </c>
      <c r="C39" s="46" t="s">
        <v>201</v>
      </c>
      <c r="D39" s="35" t="s">
        <v>13</v>
      </c>
      <c r="E39" s="48" t="s">
        <v>202</v>
      </c>
      <c r="F39" s="35"/>
      <c r="G39" s="35"/>
      <c r="H39" s="35"/>
      <c r="I39" s="35"/>
      <c r="J39" s="35"/>
      <c r="K39" s="35"/>
      <c r="L39" s="35"/>
      <c r="M39" s="35"/>
      <c r="N39" s="38">
        <v>308290</v>
      </c>
      <c r="O39" s="38">
        <v>195216</v>
      </c>
      <c r="P39" s="38">
        <v>195832</v>
      </c>
      <c r="Q39" s="38">
        <v>77595</v>
      </c>
      <c r="R39" s="38"/>
      <c r="S39" s="38"/>
      <c r="T39" s="38"/>
      <c r="U39" s="38"/>
      <c r="V39" s="38"/>
      <c r="W39" s="38"/>
      <c r="X39" s="38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spans="1:34" x14ac:dyDescent="0.25">
      <c r="A40" t="s">
        <v>203</v>
      </c>
      <c r="B40" s="46" t="s">
        <v>9</v>
      </c>
      <c r="C40" s="46" t="s">
        <v>204</v>
      </c>
      <c r="D40" s="35" t="s">
        <v>13</v>
      </c>
      <c r="E40" s="48" t="s">
        <v>202</v>
      </c>
      <c r="F40" s="35"/>
      <c r="G40" s="35"/>
      <c r="H40" s="35"/>
      <c r="I40" s="35"/>
      <c r="J40" s="35"/>
      <c r="K40" s="35"/>
      <c r="L40" s="35"/>
      <c r="M40" s="35"/>
      <c r="N40" s="21">
        <v>1020648</v>
      </c>
      <c r="O40" s="21">
        <v>1170478</v>
      </c>
      <c r="P40" s="21">
        <v>1198101</v>
      </c>
      <c r="Q40" s="21">
        <v>652220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</sheetData>
  <mergeCells count="8">
    <mergeCell ref="A4:Q4"/>
    <mergeCell ref="A2:A3"/>
    <mergeCell ref="B2:B3"/>
    <mergeCell ref="C2:C3"/>
    <mergeCell ref="D2:D3"/>
    <mergeCell ref="E2:E3"/>
    <mergeCell ref="A1:AH1"/>
    <mergeCell ref="F2:AH2"/>
  </mergeCells>
  <conditionalFormatting sqref="B5:E40">
    <cfRule type="expression" dxfId="21" priority="10" stopIfTrue="1">
      <formula>$D5="Pembentuk"</formula>
    </cfRule>
  </conditionalFormatting>
  <conditionalFormatting sqref="B5:Q40">
    <cfRule type="expression" dxfId="20" priority="9" stopIfTrue="1">
      <formula>$D5="Hasil"</formula>
    </cfRule>
  </conditionalFormatting>
  <conditionalFormatting sqref="F5:Y22">
    <cfRule type="expression" dxfId="19" priority="24" stopIfTrue="1">
      <formula>$D5="Pembentuk"</formula>
    </cfRule>
  </conditionalFormatting>
  <conditionalFormatting sqref="F23:AD40">
    <cfRule type="expression" dxfId="18" priority="16" stopIfTrue="1">
      <formula>$D23="Pembentuk"</formula>
    </cfRule>
  </conditionalFormatting>
  <conditionalFormatting sqref="R5:Y22">
    <cfRule type="expression" dxfId="17" priority="23" stopIfTrue="1">
      <formula>$D5="Hasil"</formula>
    </cfRule>
  </conditionalFormatting>
  <conditionalFormatting sqref="R23:AD40">
    <cfRule type="expression" dxfId="16" priority="15" stopIfTrue="1">
      <formula>$D23="Hasil"</formula>
    </cfRule>
  </conditionalFormatting>
  <conditionalFormatting sqref="Y9:AD10 Y12:AD13 Y17:AD22">
    <cfRule type="expression" dxfId="15" priority="19" stopIfTrue="1">
      <formula>$D9="Hasil"</formula>
    </cfRule>
  </conditionalFormatting>
  <conditionalFormatting sqref="Z5:AD8">
    <cfRule type="expression" dxfId="14" priority="13" stopIfTrue="1">
      <formula>$D5="Hasil"</formula>
    </cfRule>
    <cfRule type="expression" dxfId="13" priority="14" stopIfTrue="1">
      <formula>$D5="Pembentuk"</formula>
    </cfRule>
  </conditionalFormatting>
  <conditionalFormatting sqref="Z9:AD10 Z12:AD13 Z17:AD22">
    <cfRule type="expression" dxfId="12" priority="20" stopIfTrue="1">
      <formula>$D9="Pembentuk"</formula>
    </cfRule>
  </conditionalFormatting>
  <conditionalFormatting sqref="Z11:AH11">
    <cfRule type="expression" dxfId="11" priority="21" stopIfTrue="1">
      <formula>$D11="Hasil"</formula>
    </cfRule>
    <cfRule type="expression" dxfId="10" priority="22" stopIfTrue="1">
      <formula>$D11="Pembentuk"</formula>
    </cfRule>
  </conditionalFormatting>
  <conditionalFormatting sqref="Z14:AD16">
    <cfRule type="expression" dxfId="9" priority="17" stopIfTrue="1">
      <formula>$D14="Hasil"</formula>
    </cfRule>
    <cfRule type="expression" dxfId="8" priority="18" stopIfTrue="1">
      <formula>$D14="Pembentuk"</formula>
    </cfRule>
  </conditionalFormatting>
  <conditionalFormatting sqref="AE23:AH40">
    <cfRule type="expression" dxfId="7" priority="4" stopIfTrue="1">
      <formula>$D23="Pembentuk"</formula>
    </cfRule>
  </conditionalFormatting>
  <conditionalFormatting sqref="AE23:AH40">
    <cfRule type="expression" dxfId="6" priority="3" stopIfTrue="1">
      <formula>$D23="Hasil"</formula>
    </cfRule>
  </conditionalFormatting>
  <conditionalFormatting sqref="AE9:AH10 AE12:AH13 AE17:AH22">
    <cfRule type="expression" dxfId="5" priority="7" stopIfTrue="1">
      <formula>$D9="Hasil"</formula>
    </cfRule>
  </conditionalFormatting>
  <conditionalFormatting sqref="AE5:AH8">
    <cfRule type="expression" dxfId="4" priority="1" stopIfTrue="1">
      <formula>$D5="Hasil"</formula>
    </cfRule>
    <cfRule type="expression" dxfId="3" priority="2" stopIfTrue="1">
      <formula>$D5="Pembentuk"</formula>
    </cfRule>
  </conditionalFormatting>
  <conditionalFormatting sqref="AE9:AH10 AE12:AH13 AE17:AH22">
    <cfRule type="expression" dxfId="2" priority="8" stopIfTrue="1">
      <formula>$D9="Pembentuk"</formula>
    </cfRule>
  </conditionalFormatting>
  <conditionalFormatting sqref="AE14:AH16">
    <cfRule type="expression" dxfId="1" priority="5" stopIfTrue="1">
      <formula>$D14="Hasil"</formula>
    </cfRule>
    <cfRule type="expression" dxfId="0" priority="6" stopIfTrue="1">
      <formula>$D14="Pembentuk"</formula>
    </cfRule>
  </conditionalFormatting>
  <hyperlinks>
    <hyperlink ref="E39" r:id="rId1" xr:uid="{9E3089F8-D2B4-4BD4-AFD7-06F48865B412}"/>
    <hyperlink ref="E40" r:id="rId2" xr:uid="{AF12A9B2-6B4E-4365-8185-BDC4DF5FF8A8}"/>
    <hyperlink ref="E35" r:id="rId3" xr:uid="{0C9914C9-01E7-44EC-8CB7-1B89316E06A5}"/>
    <hyperlink ref="E36" r:id="rId4" xr:uid="{7E608AFE-83FF-45B5-BC2B-75B0F2A07864}"/>
    <hyperlink ref="E23" r:id="rId5" xr:uid="{CDA9D022-AF86-439E-AC80-70466FCFE320}"/>
    <hyperlink ref="E24" r:id="rId6" xr:uid="{DC5DEC36-231B-40E6-95E2-E7A12C424883}"/>
    <hyperlink ref="E6" r:id="rId7" xr:uid="{D2733680-C735-4E5F-A862-9E1EFA544FA8}"/>
    <hyperlink ref="E7" r:id="rId8" xr:uid="{BAE369A3-0C20-4CDF-9DA9-B3AED1596067}"/>
    <hyperlink ref="E9" r:id="rId9" xr:uid="{8CF84AF1-B0E6-4332-9F8E-7B87808428AA}"/>
    <hyperlink ref="E10" r:id="rId10" xr:uid="{729678A4-3431-4D65-B536-3D626F03BA6F}"/>
    <hyperlink ref="E12" r:id="rId11" xr:uid="{27DCCF51-494D-4A70-8A07-2F29FB717C7F}"/>
    <hyperlink ref="E13" r:id="rId12" xr:uid="{9D50B6A6-9227-43A2-A365-C9611E5656BE}"/>
    <hyperlink ref="E15" r:id="rId13" xr:uid="{FF4D0465-05A0-456B-8FD0-17176F5303F3}"/>
    <hyperlink ref="E16" r:id="rId14" xr:uid="{778C2241-843A-4AB1-9584-2C8534EB245D}"/>
    <hyperlink ref="E17" r:id="rId15" xr:uid="{40AEB8BD-B94C-43CD-8119-4CBD9470E9CE}"/>
    <hyperlink ref="E18" r:id="rId16" xr:uid="{D0E36CF6-AC1F-4C4C-AAF6-99D11F23AA3B}"/>
    <hyperlink ref="E19" r:id="rId17" xr:uid="{17018697-2B36-4F4B-8DAB-109071842457}"/>
    <hyperlink ref="E20" r:id="rId18" xr:uid="{4AE2E694-92FB-43A0-BE13-1AEAAFD3C61E}"/>
    <hyperlink ref="E21" r:id="rId19" xr:uid="{C5BCAFBB-D805-4A0A-9795-A912689EC358}"/>
    <hyperlink ref="E26" r:id="rId20" xr:uid="{C56F7B33-6DDC-4F25-B5CF-FECA4031A697}"/>
    <hyperlink ref="E27" r:id="rId21" xr:uid="{91425152-A086-40EB-81C1-FF100B654DB2}"/>
    <hyperlink ref="E29" r:id="rId22" xr:uid="{8FF670C4-F1B5-4C16-AB8D-A4C6EC939717}"/>
    <hyperlink ref="E30" r:id="rId23" xr:uid="{007B3BE0-0920-4F09-B014-4266A6C7C69C}"/>
    <hyperlink ref="E32" r:id="rId24" xr:uid="{5588E00D-BD2A-4656-87D6-CA0572D2E9C1}"/>
    <hyperlink ref="E33" r:id="rId25" xr:uid="{C0E4CE6F-A834-4DCA-88B2-B2B37639E649}"/>
    <hyperlink ref="E37" r:id="rId26" xr:uid="{4B314E1F-35B2-4E35-BA70-5F9D38ACE262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zoomScaleNormal="100" workbookViewId="0">
      <pane ySplit="4" topLeftCell="A6" activePane="bottomLeft" state="frozen"/>
      <selection pane="bottomLeft" activeCell="B12" sqref="B12"/>
    </sheetView>
  </sheetViews>
  <sheetFormatPr defaultColWidth="8.7109375" defaultRowHeight="15" x14ac:dyDescent="0.25"/>
  <cols>
    <col min="1" max="1" width="40" customWidth="1"/>
    <col min="2" max="2" width="52" customWidth="1"/>
    <col min="3" max="3" width="14" customWidth="1"/>
    <col min="4" max="4" width="8" customWidth="1"/>
    <col min="5" max="5" width="45" customWidth="1"/>
    <col min="6" max="6" width="10" customWidth="1"/>
    <col min="7" max="7" width="12" customWidth="1"/>
    <col min="8" max="8" width="8" customWidth="1"/>
  </cols>
  <sheetData>
    <row r="1" spans="1:8" ht="33.75" customHeight="1" x14ac:dyDescent="0.25">
      <c r="A1" s="54" t="s">
        <v>99</v>
      </c>
      <c r="B1" s="54"/>
      <c r="C1" s="54"/>
      <c r="D1" s="54"/>
      <c r="E1" s="54"/>
      <c r="F1" s="54"/>
      <c r="G1" s="54"/>
      <c r="H1" s="54"/>
    </row>
    <row r="2" spans="1:8" ht="19.5" customHeight="1" x14ac:dyDescent="0.25">
      <c r="A2" s="58" t="s">
        <v>100</v>
      </c>
      <c r="B2" s="58"/>
      <c r="C2" s="58"/>
      <c r="D2" s="58"/>
      <c r="E2" s="58"/>
      <c r="F2" s="58"/>
      <c r="G2" s="58"/>
      <c r="H2" s="58"/>
    </row>
    <row r="3" spans="1:8" ht="19.5" customHeight="1" x14ac:dyDescent="0.25">
      <c r="A3" s="7" t="s">
        <v>101</v>
      </c>
      <c r="B3" s="7" t="s">
        <v>102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107</v>
      </c>
      <c r="H3" s="7" t="s">
        <v>108</v>
      </c>
    </row>
    <row r="4" spans="1:8" ht="15.75" customHeight="1" x14ac:dyDescent="0.25">
      <c r="A4" s="8" t="s">
        <v>109</v>
      </c>
      <c r="B4" s="8" t="s">
        <v>110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116</v>
      </c>
    </row>
    <row r="5" spans="1:8" ht="24" x14ac:dyDescent="0.25">
      <c r="A5" s="2" t="s">
        <v>117</v>
      </c>
      <c r="B5" s="9" t="s">
        <v>118</v>
      </c>
      <c r="C5" s="10" t="s">
        <v>119</v>
      </c>
      <c r="D5" s="1" t="s">
        <v>120</v>
      </c>
      <c r="E5" s="11" t="s">
        <v>121</v>
      </c>
      <c r="F5" s="1" t="s">
        <v>122</v>
      </c>
      <c r="G5" s="1" t="s">
        <v>123</v>
      </c>
      <c r="H5" s="12" t="s">
        <v>124</v>
      </c>
    </row>
    <row r="6" spans="1:8" ht="24" x14ac:dyDescent="0.25">
      <c r="A6" s="13" t="s">
        <v>125</v>
      </c>
      <c r="B6" s="14" t="s">
        <v>126</v>
      </c>
      <c r="C6" s="15" t="s">
        <v>127</v>
      </c>
      <c r="D6" s="16" t="s">
        <v>128</v>
      </c>
      <c r="E6" s="17" t="s">
        <v>129</v>
      </c>
      <c r="F6" s="16" t="s">
        <v>130</v>
      </c>
      <c r="G6" s="16" t="s">
        <v>131</v>
      </c>
      <c r="H6" s="18" t="s">
        <v>124</v>
      </c>
    </row>
    <row r="7" spans="1:8" ht="24" x14ac:dyDescent="0.25">
      <c r="A7" s="2" t="s">
        <v>132</v>
      </c>
      <c r="B7" s="9" t="s">
        <v>133</v>
      </c>
      <c r="C7" s="10" t="s">
        <v>134</v>
      </c>
      <c r="D7" s="1" t="s">
        <v>128</v>
      </c>
      <c r="E7" s="11" t="s">
        <v>135</v>
      </c>
      <c r="F7" s="1" t="s">
        <v>136</v>
      </c>
      <c r="G7" s="1" t="s">
        <v>137</v>
      </c>
      <c r="H7" s="12" t="s">
        <v>124</v>
      </c>
    </row>
    <row r="8" spans="1:8" ht="24" x14ac:dyDescent="0.25">
      <c r="A8" s="13" t="s">
        <v>138</v>
      </c>
      <c r="B8" s="14" t="s">
        <v>139</v>
      </c>
      <c r="C8" s="15" t="s">
        <v>140</v>
      </c>
      <c r="D8" s="16" t="s">
        <v>120</v>
      </c>
      <c r="E8" s="17" t="s">
        <v>141</v>
      </c>
      <c r="F8" s="16" t="s">
        <v>142</v>
      </c>
      <c r="G8" s="16" t="s">
        <v>143</v>
      </c>
      <c r="H8" s="18" t="s">
        <v>124</v>
      </c>
    </row>
    <row r="9" spans="1:8" ht="24" x14ac:dyDescent="0.25">
      <c r="A9" s="2" t="s">
        <v>144</v>
      </c>
      <c r="B9" s="9" t="s">
        <v>145</v>
      </c>
      <c r="C9" s="10" t="s">
        <v>127</v>
      </c>
      <c r="D9" s="1" t="s">
        <v>146</v>
      </c>
      <c r="E9" s="11" t="s">
        <v>147</v>
      </c>
      <c r="F9" s="1" t="s">
        <v>130</v>
      </c>
      <c r="G9" s="1" t="s">
        <v>131</v>
      </c>
      <c r="H9" s="12" t="s">
        <v>124</v>
      </c>
    </row>
    <row r="10" spans="1:8" ht="24" x14ac:dyDescent="0.25">
      <c r="A10" s="13" t="s">
        <v>148</v>
      </c>
      <c r="B10" s="14" t="s">
        <v>149</v>
      </c>
      <c r="C10" s="15" t="s">
        <v>150</v>
      </c>
      <c r="D10" s="16" t="s">
        <v>120</v>
      </c>
      <c r="E10" s="17" t="s">
        <v>151</v>
      </c>
      <c r="F10" s="16" t="s">
        <v>152</v>
      </c>
      <c r="G10" s="16" t="s">
        <v>153</v>
      </c>
      <c r="H10" s="18" t="s">
        <v>124</v>
      </c>
    </row>
    <row r="11" spans="1:8" ht="24" x14ac:dyDescent="0.25">
      <c r="A11" s="2" t="s">
        <v>154</v>
      </c>
      <c r="B11" s="9" t="s">
        <v>155</v>
      </c>
      <c r="C11" s="10" t="s">
        <v>156</v>
      </c>
      <c r="D11" s="1" t="s">
        <v>157</v>
      </c>
      <c r="E11" s="11" t="s">
        <v>158</v>
      </c>
      <c r="F11" s="1" t="s">
        <v>159</v>
      </c>
      <c r="G11" s="1" t="s">
        <v>137</v>
      </c>
      <c r="H11" s="12" t="s">
        <v>124</v>
      </c>
    </row>
    <row r="12" spans="1:8" ht="24" x14ac:dyDescent="0.25">
      <c r="A12" s="13" t="s">
        <v>160</v>
      </c>
      <c r="B12" s="14" t="s">
        <v>161</v>
      </c>
      <c r="C12" s="15" t="s">
        <v>162</v>
      </c>
      <c r="D12" s="16" t="s">
        <v>163</v>
      </c>
      <c r="E12" s="19" t="s">
        <v>164</v>
      </c>
      <c r="F12" s="16" t="s">
        <v>165</v>
      </c>
      <c r="G12" s="16" t="s">
        <v>131</v>
      </c>
      <c r="H12" s="18" t="s">
        <v>124</v>
      </c>
    </row>
    <row r="13" spans="1:8" x14ac:dyDescent="0.25">
      <c r="A13" s="2" t="s">
        <v>166</v>
      </c>
      <c r="B13" s="9" t="s">
        <v>167</v>
      </c>
      <c r="C13" s="10" t="s">
        <v>127</v>
      </c>
      <c r="D13" s="1" t="s">
        <v>128</v>
      </c>
      <c r="E13" s="11" t="s">
        <v>168</v>
      </c>
      <c r="F13" s="1" t="s">
        <v>169</v>
      </c>
      <c r="G13" s="1" t="s">
        <v>137</v>
      </c>
      <c r="H13" s="12" t="s">
        <v>124</v>
      </c>
    </row>
    <row r="14" spans="1:8" ht="24" x14ac:dyDescent="0.25">
      <c r="A14" s="13" t="s">
        <v>170</v>
      </c>
      <c r="B14" s="14" t="s">
        <v>171</v>
      </c>
      <c r="C14" s="15" t="s">
        <v>134</v>
      </c>
      <c r="D14" s="16" t="s">
        <v>146</v>
      </c>
      <c r="E14" s="17" t="s">
        <v>172</v>
      </c>
      <c r="F14" s="16" t="s">
        <v>173</v>
      </c>
      <c r="G14" s="16" t="s">
        <v>137</v>
      </c>
      <c r="H14" s="18" t="s">
        <v>124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DATAMART</vt:lpstr>
      <vt:lpstr>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LOA-Geraldo Manuhutu</cp:lastModifiedBy>
  <cp:revision>0</cp:revision>
  <dcterms:created xsi:type="dcterms:W3CDTF">2026-04-22T01:56:20Z</dcterms:created>
  <dcterms:modified xsi:type="dcterms:W3CDTF">2026-10-28T02:45:31Z</dcterms:modified>
  <dc:language>en-US</dc:language>
</cp:coreProperties>
</file>